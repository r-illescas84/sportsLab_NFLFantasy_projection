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le\sportsLab_NFLFantasy_projection\data\weekly_data\weekly_predictions\2025\"/>
    </mc:Choice>
  </mc:AlternateContent>
  <xr:revisionPtr revIDLastSave="0" documentId="13_ncr:9_{F45153F7-E435-4463-B337-FF4B0B7472E3}" xr6:coauthVersionLast="47" xr6:coauthVersionMax="47" xr10:uidLastSave="{00000000-0000-0000-0000-000000000000}"/>
  <bookViews>
    <workbookView xWindow="-110" yWindow="-110" windowWidth="19420" windowHeight="10420" xr2:uid="{AE639A52-8B4F-45A2-B537-2B739995C6CA}"/>
  </bookViews>
  <sheets>
    <sheet name="wrs_complete_week18" sheetId="1" r:id="rId1"/>
  </sheets>
  <definedNames>
    <definedName name="_xlnm._FilterDatabase" localSheetId="0" hidden="1">wrs_complete_week18!$A$1:$L$97</definedName>
  </definedNames>
  <calcPr calcId="0"/>
</workbook>
</file>

<file path=xl/calcChain.xml><?xml version="1.0" encoding="utf-8"?>
<calcChain xmlns="http://schemas.openxmlformats.org/spreadsheetml/2006/main">
  <c r="L61" i="1" l="1"/>
  <c r="L96" i="1"/>
  <c r="L6" i="1"/>
  <c r="L72" i="1"/>
  <c r="L23" i="1"/>
  <c r="L84" i="1"/>
  <c r="L51" i="1"/>
  <c r="L65" i="1"/>
  <c r="L63" i="1"/>
  <c r="L2" i="1"/>
  <c r="L37" i="1"/>
  <c r="L4" i="1"/>
  <c r="L3" i="1"/>
  <c r="L89" i="1"/>
  <c r="L19" i="1"/>
  <c r="L70" i="1"/>
  <c r="L64" i="1"/>
  <c r="L29" i="1"/>
  <c r="L11" i="1"/>
  <c r="L25" i="1"/>
  <c r="L91" i="1"/>
  <c r="L54" i="1"/>
  <c r="L95" i="1"/>
  <c r="L32" i="1"/>
  <c r="L57" i="1"/>
  <c r="L14" i="1"/>
  <c r="L9" i="1"/>
  <c r="L21" i="1"/>
  <c r="L75" i="1"/>
  <c r="L79" i="1"/>
  <c r="L12" i="1"/>
  <c r="L90" i="1"/>
  <c r="L45" i="1"/>
  <c r="L31" i="1"/>
  <c r="L49" i="1"/>
  <c r="L5" i="1"/>
  <c r="L10" i="1"/>
  <c r="L20" i="1"/>
  <c r="L7" i="1"/>
  <c r="L76" i="1"/>
  <c r="L24" i="1"/>
  <c r="L15" i="1"/>
  <c r="L16" i="1"/>
  <c r="L35" i="1"/>
  <c r="L52" i="1"/>
  <c r="L13" i="1"/>
  <c r="L44" i="1"/>
  <c r="L34" i="1"/>
  <c r="L78" i="1"/>
  <c r="L92" i="1"/>
  <c r="L53" i="1"/>
  <c r="L58" i="1"/>
  <c r="L60" i="1"/>
  <c r="L30" i="1"/>
  <c r="L67" i="1"/>
  <c r="L39" i="1"/>
  <c r="L62" i="1"/>
  <c r="L40" i="1"/>
  <c r="L77" i="1"/>
  <c r="L82" i="1"/>
  <c r="L26" i="1"/>
  <c r="L50" i="1"/>
  <c r="L18" i="1"/>
  <c r="L28" i="1"/>
  <c r="L47" i="1"/>
  <c r="L27" i="1"/>
  <c r="L81" i="1"/>
  <c r="L85" i="1"/>
  <c r="L93" i="1"/>
  <c r="L33" i="1"/>
  <c r="L55" i="1"/>
  <c r="L41" i="1"/>
  <c r="L68" i="1"/>
  <c r="L17" i="1"/>
  <c r="L48" i="1"/>
  <c r="L69" i="1"/>
  <c r="L73" i="1"/>
  <c r="L74" i="1"/>
  <c r="L38" i="1"/>
  <c r="L83" i="1"/>
  <c r="L22" i="1"/>
  <c r="L8" i="1"/>
  <c r="L43" i="1"/>
  <c r="L36" i="1"/>
  <c r="L46" i="1"/>
  <c r="L97" i="1"/>
  <c r="L94" i="1"/>
  <c r="L88" i="1"/>
  <c r="L59" i="1"/>
  <c r="L80" i="1"/>
  <c r="L86" i="1"/>
  <c r="L66" i="1"/>
  <c r="L71" i="1"/>
  <c r="L42" i="1"/>
  <c r="L87" i="1"/>
  <c r="L56" i="1"/>
</calcChain>
</file>

<file path=xl/sharedStrings.xml><?xml version="1.0" encoding="utf-8"?>
<sst xmlns="http://schemas.openxmlformats.org/spreadsheetml/2006/main" count="348" uniqueCount="286">
  <si>
    <t>player_id</t>
  </si>
  <si>
    <t>display_name</t>
  </si>
  <si>
    <t>predicted_receptions</t>
  </si>
  <si>
    <t>predicted_receiving_yards</t>
  </si>
  <si>
    <t>predicted_receiving_tds</t>
  </si>
  <si>
    <t>receiving_yards_season_avg</t>
  </si>
  <si>
    <t>receptions_season_avg</t>
  </si>
  <si>
    <t>receiving_tds_season_avg</t>
  </si>
  <si>
    <t>projected_std_points</t>
  </si>
  <si>
    <t>projected_ppr_points</t>
  </si>
  <si>
    <t>00-0036900</t>
  </si>
  <si>
    <t>Ja'Marr Chase</t>
  </si>
  <si>
    <t>87.73333333333333</t>
  </si>
  <si>
    <t>8.666666666666666</t>
  </si>
  <si>
    <t>0.4666666666666667</t>
  </si>
  <si>
    <t>00-0036358</t>
  </si>
  <si>
    <t>CeeDee Lamb</t>
  </si>
  <si>
    <t>89.41666666666667</t>
  </si>
  <si>
    <t>5.666666666666667</t>
  </si>
  <si>
    <t>00-0038543</t>
  </si>
  <si>
    <t>Jaxon Smith-Njigba</t>
  </si>
  <si>
    <t>00-0035719</t>
  </si>
  <si>
    <t>Deebo Samuel Sr.</t>
  </si>
  <si>
    <t>47.13333333333333</t>
  </si>
  <si>
    <t>2.6666666666666665</t>
  </si>
  <si>
    <t>0.3333333333333333</t>
  </si>
  <si>
    <t>00-0036963</t>
  </si>
  <si>
    <t>Amon-Ra St. Brown</t>
  </si>
  <si>
    <t>8.333333333333334</t>
  </si>
  <si>
    <t>00-0036322</t>
  </si>
  <si>
    <t>Justin Jefferson</t>
  </si>
  <si>
    <t>00-0039075</t>
  </si>
  <si>
    <t>Puka Nacua</t>
  </si>
  <si>
    <t>109.26666666666668</t>
  </si>
  <si>
    <t>00-0037238</t>
  </si>
  <si>
    <t>Drake London</t>
  </si>
  <si>
    <t>76.45454545454545</t>
  </si>
  <si>
    <t>3.6666666666666665</t>
  </si>
  <si>
    <t>0.5454545454545454</t>
  </si>
  <si>
    <t>00-0038117</t>
  </si>
  <si>
    <t>Wan'Dale Robinson</t>
  </si>
  <si>
    <t>6.333333333333333</t>
  </si>
  <si>
    <t>00-0040124</t>
  </si>
  <si>
    <t>Tetairoa McMillan</t>
  </si>
  <si>
    <t>00-0035640</t>
  </si>
  <si>
    <t>DK Metcalf</t>
  </si>
  <si>
    <t>56.66666666666666</t>
  </si>
  <si>
    <t>4.666666666666667</t>
  </si>
  <si>
    <t>00-0038559</t>
  </si>
  <si>
    <t>Michael Wilson</t>
  </si>
  <si>
    <t>53.94736842105263</t>
  </si>
  <si>
    <t>0.3157894736842105</t>
  </si>
  <si>
    <t>00-0038124</t>
  </si>
  <si>
    <t>Christian Watson</t>
  </si>
  <si>
    <t>3.333333333333333</t>
  </si>
  <si>
    <t>00-0031381</t>
  </si>
  <si>
    <t>Davante Adams</t>
  </si>
  <si>
    <t>56.35714285714285</t>
  </si>
  <si>
    <t>00-0037247</t>
  </si>
  <si>
    <t>George Pickens</t>
  </si>
  <si>
    <t>00-0039916</t>
  </si>
  <si>
    <t>Ricky Pearsall</t>
  </si>
  <si>
    <t>58.66666666666666</t>
  </si>
  <si>
    <t>4.333333333333333</t>
  </si>
  <si>
    <t>00-0039064</t>
  </si>
  <si>
    <t>Zay Flowers</t>
  </si>
  <si>
    <t>00-0036410</t>
  </si>
  <si>
    <t>Tee Higgins</t>
  </si>
  <si>
    <t>55.642857142857146</t>
  </si>
  <si>
    <t>0.7142857142857143</t>
  </si>
  <si>
    <t>00-0034348</t>
  </si>
  <si>
    <t>Courtland Sutton</t>
  </si>
  <si>
    <t>00-0039451</t>
  </si>
  <si>
    <t>Isaiah Williams</t>
  </si>
  <si>
    <t>00-0040735</t>
  </si>
  <si>
    <t>Luther Burden III</t>
  </si>
  <si>
    <t>44.07142857142857</t>
  </si>
  <si>
    <t>0.1428571428571428</t>
  </si>
  <si>
    <t>00-0036554</t>
  </si>
  <si>
    <t>Nico Collins</t>
  </si>
  <si>
    <t>74.46666666666667</t>
  </si>
  <si>
    <t>00-0034960</t>
  </si>
  <si>
    <t>Jakobi Meyers</t>
  </si>
  <si>
    <t>52.73333333333333</t>
  </si>
  <si>
    <t>00-0038606</t>
  </si>
  <si>
    <t>Parker Washington</t>
  </si>
  <si>
    <t>54.285714285714285</t>
  </si>
  <si>
    <t>0.2857142857142857</t>
  </si>
  <si>
    <t>00-0037239</t>
  </si>
  <si>
    <t>Chris Olave</t>
  </si>
  <si>
    <t>00-0031588</t>
  </si>
  <si>
    <t>Stefon Diggs</t>
  </si>
  <si>
    <t>00-0035659</t>
  </si>
  <si>
    <t>Terry McLaurin</t>
  </si>
  <si>
    <t>58.333333333333336</t>
  </si>
  <si>
    <t>00-0038608</t>
  </si>
  <si>
    <t>Kayshon Boutte</t>
  </si>
  <si>
    <t>40.53846153846154</t>
  </si>
  <si>
    <t>0.4615384615384615</t>
  </si>
  <si>
    <t>00-0039868</t>
  </si>
  <si>
    <t>Troy Franklin</t>
  </si>
  <si>
    <t>00-0039894</t>
  </si>
  <si>
    <t>Xavier Worthy</t>
  </si>
  <si>
    <t>1.3333333333333333</t>
  </si>
  <si>
    <t>00-0031408</t>
  </si>
  <si>
    <t>Mike Evans</t>
  </si>
  <si>
    <t>47.71428571428572</t>
  </si>
  <si>
    <t>0.4285714285714285</t>
  </si>
  <si>
    <t>00-0037261</t>
  </si>
  <si>
    <t>Khalil Shakir</t>
  </si>
  <si>
    <t>00-0037240</t>
  </si>
  <si>
    <t>Jameson Williams</t>
  </si>
  <si>
    <t>00-0035676</t>
  </si>
  <si>
    <t>A.J. Brown</t>
  </si>
  <si>
    <t>66.86666666666666</t>
  </si>
  <si>
    <t>5.333333333333333</t>
  </si>
  <si>
    <t>00-0036912</t>
  </si>
  <si>
    <t>DeVonta Smith</t>
  </si>
  <si>
    <t>00-0036259</t>
  </si>
  <si>
    <t>Jauan Jennings</t>
  </si>
  <si>
    <t>43.42857142857143</t>
  </si>
  <si>
    <t>0.6428571428571429</t>
  </si>
  <si>
    <t>00-0037816</t>
  </si>
  <si>
    <t>Romeo Doubs</t>
  </si>
  <si>
    <t>00-0038544</t>
  </si>
  <si>
    <t>Quentin Johnston</t>
  </si>
  <si>
    <t>56.53846153846154</t>
  </si>
  <si>
    <t>0.6153846153846154</t>
  </si>
  <si>
    <t>00-0035662</t>
  </si>
  <si>
    <t>Marquise Brown</t>
  </si>
  <si>
    <t>34.86666666666667</t>
  </si>
  <si>
    <t>1.6666666666666667</t>
  </si>
  <si>
    <t>00-0039146</t>
  </si>
  <si>
    <t>Jayden Reed</t>
  </si>
  <si>
    <t>00-0033921</t>
  </si>
  <si>
    <t>Chris Godwin Jr.</t>
  </si>
  <si>
    <t>00-0040170</t>
  </si>
  <si>
    <t>Elic Ayomanor</t>
  </si>
  <si>
    <t>0.2666666666666666</t>
  </si>
  <si>
    <t>00-0040129</t>
  </si>
  <si>
    <t>Emeka Egbuka</t>
  </si>
  <si>
    <t>00-0039410</t>
  </si>
  <si>
    <t>Ryan Flournoy</t>
  </si>
  <si>
    <t>33.916666666666664</t>
  </si>
  <si>
    <t>00-0039890</t>
  </si>
  <si>
    <t>Adonai Mitchell</t>
  </si>
  <si>
    <t>0.1333333333333333</t>
  </si>
  <si>
    <t>00-0040705</t>
  </si>
  <si>
    <t>Chimere Dike</t>
  </si>
  <si>
    <t>00-0036252</t>
  </si>
  <si>
    <t>Michael Pittman</t>
  </si>
  <si>
    <t>00-0037614</t>
  </si>
  <si>
    <t>John Metchie III</t>
  </si>
  <si>
    <t>23.09090909090909</t>
  </si>
  <si>
    <t>0.1818181818181818</t>
  </si>
  <si>
    <t>00-0030279</t>
  </si>
  <si>
    <t>Keenan Allen</t>
  </si>
  <si>
    <t>0.1666666666666666</t>
  </si>
  <si>
    <t>00-0038994</t>
  </si>
  <si>
    <t>Jordan Addison</t>
  </si>
  <si>
    <t>46.30769230769231</t>
  </si>
  <si>
    <t>0.2307692307692307</t>
  </si>
  <si>
    <t>00-0040729</t>
  </si>
  <si>
    <t>Jack Bech</t>
  </si>
  <si>
    <t>20.363636363636363</t>
  </si>
  <si>
    <t>00-0039491</t>
  </si>
  <si>
    <t>Jalen Coker</t>
  </si>
  <si>
    <t>00-0036613</t>
  </si>
  <si>
    <t>Jaylen Waddle</t>
  </si>
  <si>
    <t>2.333333333333333</t>
  </si>
  <si>
    <t>00-0039849</t>
  </si>
  <si>
    <t>Marvin Harrison Jr.</t>
  </si>
  <si>
    <t>50.66666666666666</t>
  </si>
  <si>
    <t>00-0039915</t>
  </si>
  <si>
    <t>Ladd McConkey</t>
  </si>
  <si>
    <t>00-0040130</t>
  </si>
  <si>
    <t>Jayden Higgins</t>
  </si>
  <si>
    <t>00-0040131</t>
  </si>
  <si>
    <t>Kyle Williams</t>
  </si>
  <si>
    <t>0.2727272727272727</t>
  </si>
  <si>
    <t>00-0033908</t>
  </si>
  <si>
    <t>Cooper Kupp</t>
  </si>
  <si>
    <t>00-0039919</t>
  </si>
  <si>
    <t>Rome Odunze</t>
  </si>
  <si>
    <t>55.083333333333336</t>
  </si>
  <si>
    <t>00-0037664</t>
  </si>
  <si>
    <t>Alec Pierce</t>
  </si>
  <si>
    <t>62.21428571428572</t>
  </si>
  <si>
    <t>00-0034827</t>
  </si>
  <si>
    <t>DJ Moore</t>
  </si>
  <si>
    <t>00-0039342</t>
  </si>
  <si>
    <t>Xavier Legette</t>
  </si>
  <si>
    <t>24.357142857142858</t>
  </si>
  <si>
    <t>0.2142857142857142</t>
  </si>
  <si>
    <t>00-0038997</t>
  </si>
  <si>
    <t>Josh Downs</t>
  </si>
  <si>
    <t>00-0030564</t>
  </si>
  <si>
    <t>DeAndre Hopkins</t>
  </si>
  <si>
    <t>00-0038619</t>
  </si>
  <si>
    <t>Andrei Iosivas</t>
  </si>
  <si>
    <t>30.357142857142858</t>
  </si>
  <si>
    <t>00-0037742</t>
  </si>
  <si>
    <t>Treylon Burks</t>
  </si>
  <si>
    <t>16.857142857142858</t>
  </si>
  <si>
    <t>00-0037837</t>
  </si>
  <si>
    <t>Calvin Austin III</t>
  </si>
  <si>
    <t>24.384615384615383</t>
  </si>
  <si>
    <t>0.6666666666666666</t>
  </si>
  <si>
    <t>0.1538461538461538</t>
  </si>
  <si>
    <t>00-0036407</t>
  </si>
  <si>
    <t>Jerry Jeudy</t>
  </si>
  <si>
    <t>00-0038563</t>
  </si>
  <si>
    <t>Tre Tucker</t>
  </si>
  <si>
    <t>00-0030035</t>
  </si>
  <si>
    <t>Adam Thielen</t>
  </si>
  <si>
    <t>00-0039893</t>
  </si>
  <si>
    <t>Brian Thomas Jr.</t>
  </si>
  <si>
    <t>50.61538461538461</t>
  </si>
  <si>
    <t>00-0037545</t>
  </si>
  <si>
    <t>Rashid Shaheed</t>
  </si>
  <si>
    <t>40.294117647058826</t>
  </si>
  <si>
    <t>00-0040782</t>
  </si>
  <si>
    <t>Isaiah Bond</t>
  </si>
  <si>
    <t>23.384615384615383</t>
  </si>
  <si>
    <t>00-0036550</t>
  </si>
  <si>
    <t>Rashod Bateman</t>
  </si>
  <si>
    <t>17.23076923076923</t>
  </si>
  <si>
    <t>00-0037291</t>
  </si>
  <si>
    <t>Jalen Nailor</t>
  </si>
  <si>
    <t>00-0040581</t>
  </si>
  <si>
    <t>Dont'e Thornton Jr.</t>
  </si>
  <si>
    <t>00-0039623</t>
  </si>
  <si>
    <t>Mason Tipton</t>
  </si>
  <si>
    <t>12.666666666666666</t>
  </si>
  <si>
    <t>00-0040669</t>
  </si>
  <si>
    <t>Isaac TeSlaa</t>
  </si>
  <si>
    <t>00-0039880</t>
  </si>
  <si>
    <t>Malik Washington</t>
  </si>
  <si>
    <t>00-0033857</t>
  </si>
  <si>
    <t>JuJu Smith-Schuster</t>
  </si>
  <si>
    <t>22.133333333333333</t>
  </si>
  <si>
    <t>00-0034775</t>
  </si>
  <si>
    <t>Christian Kirk</t>
  </si>
  <si>
    <t>00-0036309</t>
  </si>
  <si>
    <t>Darnell Mooney</t>
  </si>
  <si>
    <t>30.214285714285715</t>
  </si>
  <si>
    <t>00-0032775</t>
  </si>
  <si>
    <t>Demarcus Robinson</t>
  </si>
  <si>
    <t>19.384615384615383</t>
  </si>
  <si>
    <t>00-0040134</t>
  </si>
  <si>
    <t>Pat Bryant</t>
  </si>
  <si>
    <t>31.545454545454547</t>
  </si>
  <si>
    <t>00-0031236</t>
  </si>
  <si>
    <t>Brandin Cooks</t>
  </si>
  <si>
    <t>19.928571428571427</t>
  </si>
  <si>
    <t>00-0038979</t>
  </si>
  <si>
    <t>Cedric Tillman</t>
  </si>
  <si>
    <t>22.454545454545453</t>
  </si>
  <si>
    <t>00-0036988</t>
  </si>
  <si>
    <t>Josh Palmer</t>
  </si>
  <si>
    <t>27.454545454545453</t>
  </si>
  <si>
    <t>00-0035359</t>
  </si>
  <si>
    <t>David Sills</t>
  </si>
  <si>
    <t>16.363636363636363</t>
  </si>
  <si>
    <t>0.1111111111111111</t>
  </si>
  <si>
    <t>00-0035535</t>
  </si>
  <si>
    <t>Darius Slayton</t>
  </si>
  <si>
    <t>38.76923076923077</t>
  </si>
  <si>
    <t>00-0037231</t>
  </si>
  <si>
    <t>Kevin Austin Jr.</t>
  </si>
  <si>
    <t>00-0037741</t>
  </si>
  <si>
    <t>Jahan Dotson</t>
  </si>
  <si>
    <t>17.076923076923077</t>
  </si>
  <si>
    <t>00-0040590</t>
  </si>
  <si>
    <t>Konata Mumpfield</t>
  </si>
  <si>
    <t>00-0036165</t>
  </si>
  <si>
    <t>Isaiah Hodgins</t>
  </si>
  <si>
    <t>00-0039521</t>
  </si>
  <si>
    <t>Xavier Weaver</t>
  </si>
  <si>
    <t>11.166666666666666</t>
  </si>
  <si>
    <t>00-0034418</t>
  </si>
  <si>
    <t>Cedrick Wilson Jr.</t>
  </si>
  <si>
    <t>00-0036133</t>
  </si>
  <si>
    <t>James Proche</t>
  </si>
  <si>
    <t>nfl_ppr_points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</si>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</sst>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73D6-03EC-4C66-B17D-12832CFAE7B4}">
  <sheetPr filterMode="1"/>
  <dimension ref="A1:L97"/>
  <sheetViews>
    <sheetView tabSelected="1" workbookViewId="0">
      <selection activeCell="O11" sqref="O11"/>
    </sheetView>
  </sheetViews>
  <sheetFormatPr defaultRowHeight="14.5" x14ac:dyDescent="0.35"/>
  <cols>
    <col min="2" max="2" width="17.1796875" bestFit="1" customWidth="1"/>
    <col min="10" max="10" width="20.26953125" bestFit="1" customWidth="1"/>
    <col min="11" max="11" width="14.36328125" bestFit="1" customWidth="1"/>
    <col min="12" max="12" width="11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284</v>
      </c>
      <c r="L1" t="s">
        <v>285</v>
      </c>
    </row>
    <row r="2" spans="1:12" hidden="1" x14ac:dyDescent="0.35">
      <c r="A2" t="s">
        <v>44</v>
      </c>
      <c r="B2" t="s">
        <v>45</v>
      </c>
      <c r="C2">
        <v>5.2672660000000002</v>
      </c>
      <c r="D2">
        <v>64.312449999999998</v>
      </c>
      <c r="E2">
        <v>0.38522980000000001</v>
      </c>
      <c r="F2" s="1" t="s">
        <v>46</v>
      </c>
      <c r="G2" s="1" t="s">
        <v>47</v>
      </c>
      <c r="H2">
        <v>0.4</v>
      </c>
      <c r="I2">
        <v>8.7425999999999995</v>
      </c>
      <c r="J2">
        <v>14.0099</v>
      </c>
      <c r="K2">
        <v>0</v>
      </c>
      <c r="L2">
        <f>J2-K2</f>
        <v>14.0099</v>
      </c>
    </row>
    <row r="3" spans="1:12" hidden="1" x14ac:dyDescent="0.35">
      <c r="A3" t="s">
        <v>55</v>
      </c>
      <c r="B3" t="s">
        <v>56</v>
      </c>
      <c r="C3">
        <v>5.4086270000000001</v>
      </c>
      <c r="D3">
        <v>61.028530000000003</v>
      </c>
      <c r="E3">
        <v>0.39325272999999999</v>
      </c>
      <c r="F3" s="1" t="s">
        <v>57</v>
      </c>
      <c r="G3">
        <v>4</v>
      </c>
      <c r="H3">
        <v>1</v>
      </c>
      <c r="I3">
        <v>8.4624000000000006</v>
      </c>
      <c r="J3">
        <v>13.871</v>
      </c>
      <c r="K3">
        <v>0</v>
      </c>
      <c r="L3">
        <f>J3-K3</f>
        <v>13.871</v>
      </c>
    </row>
    <row r="4" spans="1:12" x14ac:dyDescent="0.35">
      <c r="A4" t="s">
        <v>52</v>
      </c>
      <c r="B4" t="s">
        <v>53</v>
      </c>
      <c r="C4">
        <v>4.1005792999999997</v>
      </c>
      <c r="D4">
        <v>60.400239999999997</v>
      </c>
      <c r="E4">
        <v>0.62967205000000004</v>
      </c>
      <c r="F4">
        <v>61.1</v>
      </c>
      <c r="G4" s="1" t="s">
        <v>54</v>
      </c>
      <c r="H4">
        <v>0.6</v>
      </c>
      <c r="I4">
        <v>9.8180999999999994</v>
      </c>
      <c r="J4">
        <v>13.9186</v>
      </c>
      <c r="K4">
        <v>4.59</v>
      </c>
      <c r="L4">
        <f>J4-K4</f>
        <v>9.3285999999999998</v>
      </c>
    </row>
    <row r="5" spans="1:12" x14ac:dyDescent="0.35">
      <c r="A5" t="s">
        <v>122</v>
      </c>
      <c r="B5" t="s">
        <v>123</v>
      </c>
      <c r="C5">
        <v>4.5981129999999997</v>
      </c>
      <c r="D5">
        <v>55.884006999999997</v>
      </c>
      <c r="E5">
        <v>0.1235491</v>
      </c>
      <c r="F5">
        <v>45.25</v>
      </c>
      <c r="G5" s="1" t="s">
        <v>54</v>
      </c>
      <c r="H5">
        <v>0.375</v>
      </c>
      <c r="I5">
        <v>6.3296999999999999</v>
      </c>
      <c r="J5">
        <v>10.9278</v>
      </c>
      <c r="K5">
        <v>4.0999999999999996</v>
      </c>
      <c r="L5">
        <f>J5-K5</f>
        <v>6.8277999999999999</v>
      </c>
    </row>
    <row r="6" spans="1:12" x14ac:dyDescent="0.35">
      <c r="A6" t="s">
        <v>21</v>
      </c>
      <c r="B6" t="s">
        <v>22</v>
      </c>
      <c r="C6">
        <v>5.2600759999999998</v>
      </c>
      <c r="D6">
        <v>87.425380000000004</v>
      </c>
      <c r="E6">
        <v>0.41749898000000002</v>
      </c>
      <c r="F6" s="1" t="s">
        <v>23</v>
      </c>
      <c r="G6" s="1" t="s">
        <v>24</v>
      </c>
      <c r="H6" s="1" t="s">
        <v>25</v>
      </c>
      <c r="I6">
        <v>11.2475</v>
      </c>
      <c r="J6">
        <v>16.5076</v>
      </c>
      <c r="K6">
        <v>9.85</v>
      </c>
      <c r="L6">
        <f>J6-K6</f>
        <v>6.6576000000000004</v>
      </c>
    </row>
    <row r="7" spans="1:12" x14ac:dyDescent="0.35">
      <c r="A7" t="s">
        <v>132</v>
      </c>
      <c r="B7" t="s">
        <v>133</v>
      </c>
      <c r="C7">
        <v>3.6912405000000001</v>
      </c>
      <c r="D7">
        <v>46.662320000000001</v>
      </c>
      <c r="E7">
        <v>0.36822276999999998</v>
      </c>
      <c r="F7">
        <v>41.4</v>
      </c>
      <c r="G7">
        <v>4</v>
      </c>
      <c r="H7">
        <v>0.2</v>
      </c>
      <c r="I7">
        <v>6.8756000000000004</v>
      </c>
      <c r="J7">
        <v>10.566800000000001</v>
      </c>
      <c r="K7">
        <v>4.6500000000000004</v>
      </c>
      <c r="L7">
        <f>J7-K7</f>
        <v>5.9168000000000003</v>
      </c>
    </row>
    <row r="8" spans="1:12" hidden="1" x14ac:dyDescent="0.35">
      <c r="A8" t="s">
        <v>249</v>
      </c>
      <c r="B8" t="s">
        <v>250</v>
      </c>
      <c r="C8">
        <v>2.0182083</v>
      </c>
      <c r="D8">
        <v>28.069714999999999</v>
      </c>
      <c r="E8">
        <v>0.15800117999999999</v>
      </c>
      <c r="F8" s="1" t="s">
        <v>251</v>
      </c>
      <c r="G8">
        <v>4</v>
      </c>
      <c r="H8">
        <v>9.0909090909090898E-2</v>
      </c>
      <c r="I8">
        <v>3.7549999999999999</v>
      </c>
      <c r="J8">
        <v>5.7732000000000001</v>
      </c>
      <c r="K8">
        <v>0</v>
      </c>
      <c r="L8">
        <f>J8-K8</f>
        <v>5.7732000000000001</v>
      </c>
    </row>
    <row r="9" spans="1:12" x14ac:dyDescent="0.35">
      <c r="A9" t="s">
        <v>99</v>
      </c>
      <c r="B9" t="s">
        <v>100</v>
      </c>
      <c r="C9">
        <v>4.2018899999999997</v>
      </c>
      <c r="D9">
        <v>47.178566000000004</v>
      </c>
      <c r="E9">
        <v>0.42641726000000002</v>
      </c>
      <c r="F9">
        <v>44.3125</v>
      </c>
      <c r="G9" s="1" t="s">
        <v>47</v>
      </c>
      <c r="H9">
        <v>0.375</v>
      </c>
      <c r="I9">
        <v>7.2763999999999998</v>
      </c>
      <c r="J9">
        <v>11.478300000000001</v>
      </c>
      <c r="K9">
        <v>6.29</v>
      </c>
      <c r="L9">
        <f>J9-K9</f>
        <v>5.1883000000000008</v>
      </c>
    </row>
    <row r="10" spans="1:12" x14ac:dyDescent="0.35">
      <c r="A10" t="s">
        <v>124</v>
      </c>
      <c r="B10" t="s">
        <v>125</v>
      </c>
      <c r="C10">
        <v>2.7721832000000002</v>
      </c>
      <c r="D10">
        <v>51.384189999999997</v>
      </c>
      <c r="E10">
        <v>0.49394178</v>
      </c>
      <c r="F10" s="1" t="s">
        <v>126</v>
      </c>
      <c r="G10" s="1" t="s">
        <v>37</v>
      </c>
      <c r="H10" s="1" t="s">
        <v>127</v>
      </c>
      <c r="I10">
        <v>8.1021000000000001</v>
      </c>
      <c r="J10">
        <v>10.8743</v>
      </c>
      <c r="K10">
        <v>5.91</v>
      </c>
      <c r="L10">
        <f>J10-K10</f>
        <v>4.9642999999999997</v>
      </c>
    </row>
    <row r="11" spans="1:12" x14ac:dyDescent="0.35">
      <c r="A11" t="s">
        <v>72</v>
      </c>
      <c r="B11" t="s">
        <v>73</v>
      </c>
      <c r="C11">
        <v>5.390968</v>
      </c>
      <c r="D11">
        <v>53.963237999999997</v>
      </c>
      <c r="E11">
        <v>0.30741623000000001</v>
      </c>
      <c r="F11">
        <v>21.125</v>
      </c>
      <c r="G11" s="1" t="s">
        <v>47</v>
      </c>
      <c r="H11">
        <v>0</v>
      </c>
      <c r="I11">
        <v>7.2408000000000001</v>
      </c>
      <c r="J11">
        <v>12.6318</v>
      </c>
      <c r="K11">
        <v>7.83</v>
      </c>
      <c r="L11">
        <f>J11-K11</f>
        <v>4.8018000000000001</v>
      </c>
    </row>
    <row r="12" spans="1:12" x14ac:dyDescent="0.35">
      <c r="A12" t="s">
        <v>108</v>
      </c>
      <c r="B12" t="s">
        <v>109</v>
      </c>
      <c r="C12">
        <v>3.2672515</v>
      </c>
      <c r="D12">
        <v>66.880870000000002</v>
      </c>
      <c r="E12">
        <v>0.21268964000000001</v>
      </c>
      <c r="F12">
        <v>42.875</v>
      </c>
      <c r="G12">
        <v>5</v>
      </c>
      <c r="H12">
        <v>0.25</v>
      </c>
      <c r="I12">
        <v>7.9641999999999999</v>
      </c>
      <c r="J12">
        <v>11.2315</v>
      </c>
      <c r="K12">
        <v>6.73</v>
      </c>
      <c r="L12">
        <f>J12-K12</f>
        <v>4.5015000000000001</v>
      </c>
    </row>
    <row r="13" spans="1:12" x14ac:dyDescent="0.35">
      <c r="A13" t="s">
        <v>155</v>
      </c>
      <c r="B13" t="s">
        <v>156</v>
      </c>
      <c r="C13">
        <v>3.5469666000000002</v>
      </c>
      <c r="D13">
        <v>47.749009999999998</v>
      </c>
      <c r="E13">
        <v>0.26408458000000001</v>
      </c>
      <c r="F13">
        <v>46.3125</v>
      </c>
      <c r="G13" s="1" t="s">
        <v>37</v>
      </c>
      <c r="H13">
        <v>0.25</v>
      </c>
      <c r="I13">
        <v>6.3593999999999999</v>
      </c>
      <c r="J13">
        <v>9.9063999999999997</v>
      </c>
      <c r="K13">
        <v>5.65</v>
      </c>
      <c r="L13">
        <f>J13-K13</f>
        <v>4.2563999999999993</v>
      </c>
    </row>
    <row r="14" spans="1:12" x14ac:dyDescent="0.35">
      <c r="A14" t="s">
        <v>95</v>
      </c>
      <c r="B14" t="s">
        <v>96</v>
      </c>
      <c r="C14">
        <v>3.1185149999999999</v>
      </c>
      <c r="D14">
        <v>46.473869999999998</v>
      </c>
      <c r="E14">
        <v>0.65335330000000003</v>
      </c>
      <c r="F14" s="1" t="s">
        <v>97</v>
      </c>
      <c r="G14">
        <v>2</v>
      </c>
      <c r="H14" s="1" t="s">
        <v>98</v>
      </c>
      <c r="I14">
        <v>8.5675000000000008</v>
      </c>
      <c r="J14">
        <v>11.686</v>
      </c>
      <c r="K14">
        <v>7.83</v>
      </c>
      <c r="L14">
        <f>J14-K14</f>
        <v>3.8559999999999999</v>
      </c>
    </row>
    <row r="15" spans="1:12" x14ac:dyDescent="0.35">
      <c r="A15" t="s">
        <v>139</v>
      </c>
      <c r="B15" t="s">
        <v>140</v>
      </c>
      <c r="C15">
        <v>3.4567420000000002</v>
      </c>
      <c r="D15">
        <v>43.264040000000001</v>
      </c>
      <c r="E15">
        <v>0.39866918000000001</v>
      </c>
      <c r="F15">
        <v>58.125</v>
      </c>
      <c r="G15" s="1" t="s">
        <v>24</v>
      </c>
      <c r="H15">
        <v>0.375</v>
      </c>
      <c r="I15">
        <v>6.7183999999999999</v>
      </c>
      <c r="J15">
        <v>10.1752</v>
      </c>
      <c r="K15">
        <v>6.36</v>
      </c>
      <c r="L15">
        <f>J15-K15</f>
        <v>3.8151999999999999</v>
      </c>
    </row>
    <row r="16" spans="1:12" x14ac:dyDescent="0.35">
      <c r="A16" t="s">
        <v>141</v>
      </c>
      <c r="B16" t="s">
        <v>142</v>
      </c>
      <c r="C16">
        <v>3.4008530000000001</v>
      </c>
      <c r="D16">
        <v>37.250799999999998</v>
      </c>
      <c r="E16">
        <v>0.49354067000000001</v>
      </c>
      <c r="F16" s="1" t="s">
        <v>143</v>
      </c>
      <c r="G16">
        <v>5</v>
      </c>
      <c r="H16" s="1" t="s">
        <v>25</v>
      </c>
      <c r="I16">
        <v>6.6863000000000001</v>
      </c>
      <c r="J16">
        <v>10.087199999999999</v>
      </c>
      <c r="K16">
        <v>6.32</v>
      </c>
      <c r="L16">
        <f>J16-K16</f>
        <v>3.767199999999999</v>
      </c>
    </row>
    <row r="17" spans="1:12" x14ac:dyDescent="0.35">
      <c r="A17" t="s">
        <v>229</v>
      </c>
      <c r="B17" t="s">
        <v>230</v>
      </c>
      <c r="C17">
        <v>2.4018872</v>
      </c>
      <c r="D17">
        <v>27.705538000000001</v>
      </c>
      <c r="E17">
        <v>0.20326411999999999</v>
      </c>
      <c r="F17">
        <v>13.5</v>
      </c>
      <c r="G17" s="1" t="s">
        <v>103</v>
      </c>
      <c r="H17">
        <v>0</v>
      </c>
      <c r="I17">
        <v>3.9901</v>
      </c>
      <c r="J17">
        <v>6.3920000000000003</v>
      </c>
      <c r="K17">
        <v>3.01</v>
      </c>
      <c r="L17">
        <f>J17-K17</f>
        <v>3.3820000000000006</v>
      </c>
    </row>
    <row r="18" spans="1:12" x14ac:dyDescent="0.35">
      <c r="A18" t="s">
        <v>196</v>
      </c>
      <c r="B18" t="s">
        <v>197</v>
      </c>
      <c r="C18">
        <v>2.5608811</v>
      </c>
      <c r="D18">
        <v>44.493099999999998</v>
      </c>
      <c r="E18">
        <v>8.9942129999999995E-2</v>
      </c>
      <c r="F18">
        <v>20.625</v>
      </c>
      <c r="G18" s="1" t="s">
        <v>131</v>
      </c>
      <c r="H18">
        <v>0.125</v>
      </c>
      <c r="I18">
        <v>4.9889999999999999</v>
      </c>
      <c r="J18">
        <v>7.5498000000000003</v>
      </c>
      <c r="K18">
        <v>4.17</v>
      </c>
      <c r="L18">
        <f>J18-K18</f>
        <v>3.3798000000000004</v>
      </c>
    </row>
    <row r="19" spans="1:12" x14ac:dyDescent="0.35">
      <c r="A19" t="s">
        <v>60</v>
      </c>
      <c r="B19" t="s">
        <v>61</v>
      </c>
      <c r="C19">
        <v>4.7857127000000004</v>
      </c>
      <c r="D19">
        <v>67.731440000000006</v>
      </c>
      <c r="E19">
        <v>0.27043223</v>
      </c>
      <c r="F19" s="1" t="s">
        <v>62</v>
      </c>
      <c r="G19" s="1" t="s">
        <v>63</v>
      </c>
      <c r="H19">
        <v>0</v>
      </c>
      <c r="I19">
        <v>8.3956999999999997</v>
      </c>
      <c r="J19">
        <v>13.1815</v>
      </c>
      <c r="K19">
        <v>9.81</v>
      </c>
      <c r="L19">
        <f>J19-K19</f>
        <v>3.3714999999999993</v>
      </c>
    </row>
    <row r="20" spans="1:12" x14ac:dyDescent="0.35">
      <c r="A20" t="s">
        <v>128</v>
      </c>
      <c r="B20" t="s">
        <v>129</v>
      </c>
      <c r="C20">
        <v>3.4871241999999998</v>
      </c>
      <c r="D20">
        <v>54.720142000000003</v>
      </c>
      <c r="E20">
        <v>0.2701769</v>
      </c>
      <c r="F20" s="1" t="s">
        <v>130</v>
      </c>
      <c r="G20" s="1" t="s">
        <v>131</v>
      </c>
      <c r="H20" s="1" t="s">
        <v>25</v>
      </c>
      <c r="I20">
        <v>7.0930999999999997</v>
      </c>
      <c r="J20">
        <v>10.5802</v>
      </c>
      <c r="K20">
        <v>7.21</v>
      </c>
      <c r="L20">
        <f>J20-K20</f>
        <v>3.3701999999999996</v>
      </c>
    </row>
    <row r="21" spans="1:12" x14ac:dyDescent="0.35">
      <c r="A21" t="s">
        <v>101</v>
      </c>
      <c r="B21" t="s">
        <v>102</v>
      </c>
      <c r="C21">
        <v>4.2977220000000003</v>
      </c>
      <c r="D21">
        <v>59.911971999999999</v>
      </c>
      <c r="E21">
        <v>0.19154212000000001</v>
      </c>
      <c r="F21">
        <v>38</v>
      </c>
      <c r="G21" s="1" t="s">
        <v>103</v>
      </c>
      <c r="H21">
        <v>7.1428571428571397E-2</v>
      </c>
      <c r="I21">
        <v>7.1403999999999996</v>
      </c>
      <c r="J21">
        <v>11.4382</v>
      </c>
      <c r="K21">
        <v>8.3000000000000007</v>
      </c>
      <c r="L21">
        <f>J21-K21</f>
        <v>3.1381999999999994</v>
      </c>
    </row>
    <row r="22" spans="1:12" x14ac:dyDescent="0.35">
      <c r="A22" t="s">
        <v>246</v>
      </c>
      <c r="B22" t="s">
        <v>247</v>
      </c>
      <c r="C22">
        <v>2.3707392</v>
      </c>
      <c r="D22">
        <v>27.065569</v>
      </c>
      <c r="E22">
        <v>0.12180087000000001</v>
      </c>
      <c r="F22" s="1" t="s">
        <v>248</v>
      </c>
      <c r="G22">
        <v>2</v>
      </c>
      <c r="H22">
        <v>7.69230769230769E-2</v>
      </c>
      <c r="I22">
        <v>3.4373999999999998</v>
      </c>
      <c r="J22">
        <v>5.8080999999999996</v>
      </c>
      <c r="K22">
        <v>2.68</v>
      </c>
      <c r="L22">
        <f>J22-K22</f>
        <v>3.1280999999999994</v>
      </c>
    </row>
    <row r="23" spans="1:12" x14ac:dyDescent="0.35">
      <c r="A23" t="s">
        <v>29</v>
      </c>
      <c r="B23" t="s">
        <v>30</v>
      </c>
      <c r="C23">
        <v>4.8817700000000004</v>
      </c>
      <c r="D23">
        <v>71.820335</v>
      </c>
      <c r="E23">
        <v>0.63365172999999997</v>
      </c>
      <c r="F23">
        <v>59.1875</v>
      </c>
      <c r="G23">
        <v>4</v>
      </c>
      <c r="H23">
        <v>0.125</v>
      </c>
      <c r="I23">
        <v>10.9839</v>
      </c>
      <c r="J23">
        <v>15.8657</v>
      </c>
      <c r="K23">
        <v>12.78</v>
      </c>
      <c r="L23">
        <f>J23-K23</f>
        <v>3.085700000000001</v>
      </c>
    </row>
    <row r="24" spans="1:12" x14ac:dyDescent="0.35">
      <c r="A24" t="s">
        <v>136</v>
      </c>
      <c r="B24" t="s">
        <v>137</v>
      </c>
      <c r="C24">
        <v>4.8325839999999998</v>
      </c>
      <c r="D24">
        <v>42.648192999999999</v>
      </c>
      <c r="E24">
        <v>0.19464409999999999</v>
      </c>
      <c r="F24">
        <v>31</v>
      </c>
      <c r="G24" s="1" t="s">
        <v>24</v>
      </c>
      <c r="H24" s="1" t="s">
        <v>138</v>
      </c>
      <c r="I24">
        <v>5.4326999999999996</v>
      </c>
      <c r="J24">
        <v>10.2653</v>
      </c>
      <c r="K24">
        <v>7.3</v>
      </c>
      <c r="L24">
        <f>J24-K24</f>
        <v>2.9653</v>
      </c>
    </row>
    <row r="25" spans="1:12" x14ac:dyDescent="0.35">
      <c r="A25" t="s">
        <v>74</v>
      </c>
      <c r="B25" t="s">
        <v>75</v>
      </c>
      <c r="C25">
        <v>3.5044620000000002</v>
      </c>
      <c r="D25">
        <v>53.235022999999998</v>
      </c>
      <c r="E25">
        <v>0.61803149999999996</v>
      </c>
      <c r="F25" s="1" t="s">
        <v>76</v>
      </c>
      <c r="G25">
        <v>6</v>
      </c>
      <c r="H25" s="1" t="s">
        <v>77</v>
      </c>
      <c r="I25">
        <v>9.0317000000000007</v>
      </c>
      <c r="J25">
        <v>12.536199999999999</v>
      </c>
      <c r="K25">
        <v>10.09</v>
      </c>
      <c r="L25">
        <f>J25-K25</f>
        <v>2.4461999999999993</v>
      </c>
    </row>
    <row r="26" spans="1:12" x14ac:dyDescent="0.35">
      <c r="A26" t="s">
        <v>190</v>
      </c>
      <c r="B26" t="s">
        <v>191</v>
      </c>
      <c r="C26">
        <v>2.9610137999999999</v>
      </c>
      <c r="D26">
        <v>50.401890000000002</v>
      </c>
      <c r="E26">
        <v>2.7223048999999999E-2</v>
      </c>
      <c r="F26" s="1" t="s">
        <v>192</v>
      </c>
      <c r="G26" s="1" t="s">
        <v>103</v>
      </c>
      <c r="H26" s="1" t="s">
        <v>193</v>
      </c>
      <c r="I26">
        <v>5.2035</v>
      </c>
      <c r="J26">
        <v>8.1645000000000003</v>
      </c>
      <c r="K26">
        <v>6.03</v>
      </c>
      <c r="L26">
        <f>J26-K26</f>
        <v>2.1345000000000001</v>
      </c>
    </row>
    <row r="27" spans="1:12" x14ac:dyDescent="0.35">
      <c r="A27" t="s">
        <v>204</v>
      </c>
      <c r="B27" t="s">
        <v>205</v>
      </c>
      <c r="C27">
        <v>2.6535245999999999</v>
      </c>
      <c r="D27">
        <v>32.498756</v>
      </c>
      <c r="E27">
        <v>0.24895726000000001</v>
      </c>
      <c r="F27" s="1" t="s">
        <v>206</v>
      </c>
      <c r="G27" s="1" t="s">
        <v>207</v>
      </c>
      <c r="H27" s="1" t="s">
        <v>208</v>
      </c>
      <c r="I27">
        <v>4.7435999999999998</v>
      </c>
      <c r="J27">
        <v>7.3971</v>
      </c>
      <c r="K27">
        <v>5.45</v>
      </c>
      <c r="L27">
        <f>J27-K27</f>
        <v>1.9470999999999998</v>
      </c>
    </row>
    <row r="28" spans="1:12" x14ac:dyDescent="0.35">
      <c r="A28" t="s">
        <v>198</v>
      </c>
      <c r="B28" t="s">
        <v>199</v>
      </c>
      <c r="C28">
        <v>2.4251583000000001</v>
      </c>
      <c r="D28">
        <v>29.350041999999998</v>
      </c>
      <c r="E28">
        <v>0.34680119999999998</v>
      </c>
      <c r="F28" s="1" t="s">
        <v>200</v>
      </c>
      <c r="G28" s="1" t="s">
        <v>131</v>
      </c>
      <c r="H28" s="1" t="s">
        <v>77</v>
      </c>
      <c r="I28">
        <v>5.0157999999999996</v>
      </c>
      <c r="J28">
        <v>7.4409999999999998</v>
      </c>
      <c r="K28">
        <v>5.63</v>
      </c>
      <c r="L28">
        <f>J28-K28</f>
        <v>1.8109999999999999</v>
      </c>
    </row>
    <row r="29" spans="1:12" x14ac:dyDescent="0.35">
      <c r="A29" t="s">
        <v>70</v>
      </c>
      <c r="B29" t="s">
        <v>71</v>
      </c>
      <c r="C29">
        <v>3.8002180000000001</v>
      </c>
      <c r="D29">
        <v>64.282875000000004</v>
      </c>
      <c r="E29">
        <v>0.43127152000000002</v>
      </c>
      <c r="F29">
        <v>63.25</v>
      </c>
      <c r="G29" s="1" t="s">
        <v>18</v>
      </c>
      <c r="H29">
        <v>0.4375</v>
      </c>
      <c r="I29">
        <v>9.0159000000000002</v>
      </c>
      <c r="J29">
        <v>12.8161</v>
      </c>
      <c r="K29">
        <v>11.1</v>
      </c>
      <c r="L29">
        <f>J29-K29</f>
        <v>1.7161000000000008</v>
      </c>
    </row>
    <row r="30" spans="1:12" x14ac:dyDescent="0.35">
      <c r="A30" t="s">
        <v>173</v>
      </c>
      <c r="B30" t="s">
        <v>174</v>
      </c>
      <c r="C30">
        <v>3.1996760000000002</v>
      </c>
      <c r="D30">
        <v>44.403210000000001</v>
      </c>
      <c r="E30">
        <v>0.17305313</v>
      </c>
      <c r="F30">
        <v>49.3125</v>
      </c>
      <c r="G30" s="1" t="s">
        <v>169</v>
      </c>
      <c r="H30">
        <v>0.375</v>
      </c>
      <c r="I30">
        <v>5.4786000000000001</v>
      </c>
      <c r="J30">
        <v>8.6783000000000001</v>
      </c>
      <c r="K30">
        <v>7.07</v>
      </c>
      <c r="L30">
        <f>J30-K30</f>
        <v>1.6082999999999998</v>
      </c>
    </row>
    <row r="31" spans="1:12" x14ac:dyDescent="0.35">
      <c r="A31" t="s">
        <v>116</v>
      </c>
      <c r="B31" t="s">
        <v>117</v>
      </c>
      <c r="C31">
        <v>4.0749769999999996</v>
      </c>
      <c r="D31">
        <v>54.005429999999997</v>
      </c>
      <c r="E31">
        <v>0.25438565000000002</v>
      </c>
      <c r="F31">
        <v>59.75</v>
      </c>
      <c r="G31" s="1" t="s">
        <v>54</v>
      </c>
      <c r="H31">
        <v>0.25</v>
      </c>
      <c r="I31">
        <v>6.9268999999999998</v>
      </c>
      <c r="J31">
        <v>11.001799999999999</v>
      </c>
      <c r="K31">
        <v>9.43</v>
      </c>
      <c r="L31">
        <f>J31-K31</f>
        <v>1.5717999999999996</v>
      </c>
    </row>
    <row r="32" spans="1:12" x14ac:dyDescent="0.35">
      <c r="A32" t="s">
        <v>90</v>
      </c>
      <c r="B32" t="s">
        <v>91</v>
      </c>
      <c r="C32">
        <v>4.4662594999999996</v>
      </c>
      <c r="D32">
        <v>56.451934999999999</v>
      </c>
      <c r="E32">
        <v>0.30001820000000001</v>
      </c>
      <c r="F32">
        <v>60.625</v>
      </c>
      <c r="G32">
        <v>6</v>
      </c>
      <c r="H32">
        <v>0.25</v>
      </c>
      <c r="I32">
        <v>7.4452999999999996</v>
      </c>
      <c r="J32">
        <v>11.9116</v>
      </c>
      <c r="K32">
        <v>10.34</v>
      </c>
      <c r="L32">
        <f>J32-K32</f>
        <v>1.5716000000000001</v>
      </c>
    </row>
    <row r="33" spans="1:12" x14ac:dyDescent="0.35">
      <c r="A33" t="s">
        <v>221</v>
      </c>
      <c r="B33" t="s">
        <v>222</v>
      </c>
      <c r="C33">
        <v>1.8878064999999999</v>
      </c>
      <c r="D33">
        <v>37.496098000000003</v>
      </c>
      <c r="E33">
        <v>0.17783672</v>
      </c>
      <c r="F33" s="1" t="s">
        <v>223</v>
      </c>
      <c r="G33">
        <v>1</v>
      </c>
      <c r="H33">
        <v>0</v>
      </c>
      <c r="I33">
        <v>4.8166000000000002</v>
      </c>
      <c r="J33">
        <v>6.7043999999999997</v>
      </c>
      <c r="K33">
        <v>5.16</v>
      </c>
      <c r="L33">
        <f>J33-K33</f>
        <v>1.5443999999999996</v>
      </c>
    </row>
    <row r="34" spans="1:12" x14ac:dyDescent="0.35">
      <c r="A34" t="s">
        <v>162</v>
      </c>
      <c r="B34" t="s">
        <v>163</v>
      </c>
      <c r="C34">
        <v>2.9295585000000002</v>
      </c>
      <c r="D34">
        <v>50.280990000000003</v>
      </c>
      <c r="E34">
        <v>0.23548085999999999</v>
      </c>
      <c r="F34" s="1" t="s">
        <v>164</v>
      </c>
      <c r="G34" s="1" t="s">
        <v>54</v>
      </c>
      <c r="H34">
        <v>0</v>
      </c>
      <c r="I34">
        <v>6.4409999999999998</v>
      </c>
      <c r="J34">
        <v>9.3704999999999998</v>
      </c>
      <c r="K34">
        <v>7.9</v>
      </c>
      <c r="L34">
        <f>J34-K34</f>
        <v>1.4704999999999995</v>
      </c>
    </row>
    <row r="35" spans="1:12" x14ac:dyDescent="0.35">
      <c r="A35" t="s">
        <v>147</v>
      </c>
      <c r="B35" t="s">
        <v>148</v>
      </c>
      <c r="C35">
        <v>4.2572020000000004</v>
      </c>
      <c r="D35">
        <v>47.588120000000004</v>
      </c>
      <c r="E35">
        <v>0.15986301</v>
      </c>
      <c r="F35">
        <v>26.4</v>
      </c>
      <c r="G35" s="1" t="s">
        <v>37</v>
      </c>
      <c r="H35" s="1" t="s">
        <v>138</v>
      </c>
      <c r="I35">
        <v>5.718</v>
      </c>
      <c r="J35">
        <v>9.9751999999999992</v>
      </c>
      <c r="K35">
        <v>8.59</v>
      </c>
      <c r="L35">
        <f>J35-K35</f>
        <v>1.3851999999999993</v>
      </c>
    </row>
    <row r="36" spans="1:12" x14ac:dyDescent="0.35">
      <c r="A36" t="s">
        <v>258</v>
      </c>
      <c r="B36" t="s">
        <v>259</v>
      </c>
      <c r="C36">
        <v>1.2810467000000001</v>
      </c>
      <c r="D36">
        <v>26.654489999999999</v>
      </c>
      <c r="E36">
        <v>0.22958526000000001</v>
      </c>
      <c r="F36" s="1" t="s">
        <v>260</v>
      </c>
      <c r="G36">
        <v>1</v>
      </c>
      <c r="H36">
        <v>0</v>
      </c>
      <c r="I36">
        <v>4.0430000000000001</v>
      </c>
      <c r="J36">
        <v>5.3239999999999998</v>
      </c>
      <c r="K36">
        <v>4</v>
      </c>
      <c r="L36">
        <f>J36-K36</f>
        <v>1.3239999999999998</v>
      </c>
    </row>
    <row r="37" spans="1:12" x14ac:dyDescent="0.35">
      <c r="A37" t="s">
        <v>48</v>
      </c>
      <c r="B37" t="s">
        <v>49</v>
      </c>
      <c r="C37">
        <v>4.479654</v>
      </c>
      <c r="D37">
        <v>60.909829999999999</v>
      </c>
      <c r="E37">
        <v>0.56082803000000003</v>
      </c>
      <c r="F37" s="1" t="s">
        <v>50</v>
      </c>
      <c r="G37">
        <v>4</v>
      </c>
      <c r="H37" s="1" t="s">
        <v>51</v>
      </c>
      <c r="I37">
        <v>9.4559999999999995</v>
      </c>
      <c r="J37">
        <v>13.935600000000001</v>
      </c>
      <c r="K37">
        <v>12.77</v>
      </c>
      <c r="L37">
        <f>J37-K37</f>
        <v>1.1656000000000013</v>
      </c>
    </row>
    <row r="38" spans="1:12" x14ac:dyDescent="0.35">
      <c r="A38" t="s">
        <v>241</v>
      </c>
      <c r="B38" t="s">
        <v>242</v>
      </c>
      <c r="C38">
        <v>2.5034055999999998</v>
      </c>
      <c r="D38">
        <v>25.34412</v>
      </c>
      <c r="E38">
        <v>0.16139497999999999</v>
      </c>
      <c r="F38">
        <v>24.2</v>
      </c>
      <c r="G38">
        <v>2</v>
      </c>
      <c r="H38">
        <v>0.1</v>
      </c>
      <c r="I38">
        <v>3.5028000000000001</v>
      </c>
      <c r="J38">
        <v>6.0061999999999998</v>
      </c>
      <c r="K38">
        <v>4.8499999999999996</v>
      </c>
      <c r="L38">
        <f>J38-K38</f>
        <v>1.1562000000000001</v>
      </c>
    </row>
    <row r="39" spans="1:12" x14ac:dyDescent="0.35">
      <c r="A39" t="s">
        <v>177</v>
      </c>
      <c r="B39" t="s">
        <v>178</v>
      </c>
      <c r="C39">
        <v>2.4888940000000002</v>
      </c>
      <c r="D39">
        <v>47.008384999999997</v>
      </c>
      <c r="E39">
        <v>0.22988993999999999</v>
      </c>
      <c r="F39">
        <v>19</v>
      </c>
      <c r="G39">
        <v>2</v>
      </c>
      <c r="H39" s="1" t="s">
        <v>179</v>
      </c>
      <c r="I39">
        <v>6.0801999999999996</v>
      </c>
      <c r="J39">
        <v>8.5691000000000006</v>
      </c>
      <c r="K39">
        <v>7.42</v>
      </c>
      <c r="L39">
        <f>J39-K39</f>
        <v>1.1491000000000007</v>
      </c>
    </row>
    <row r="40" spans="1:12" x14ac:dyDescent="0.35">
      <c r="A40" t="s">
        <v>182</v>
      </c>
      <c r="B40" t="s">
        <v>183</v>
      </c>
      <c r="C40">
        <v>2.6838837</v>
      </c>
      <c r="D40">
        <v>38.489413999999996</v>
      </c>
      <c r="E40">
        <v>0.30505103</v>
      </c>
      <c r="F40" s="1" t="s">
        <v>184</v>
      </c>
      <c r="G40" s="1" t="s">
        <v>169</v>
      </c>
      <c r="H40">
        <v>0.5</v>
      </c>
      <c r="I40">
        <v>5.6791999999999998</v>
      </c>
      <c r="J40">
        <v>8.3630999999999993</v>
      </c>
      <c r="K40">
        <v>7.36</v>
      </c>
      <c r="L40">
        <f>J40-K40</f>
        <v>1.003099999999999</v>
      </c>
    </row>
    <row r="41" spans="1:12" x14ac:dyDescent="0.35">
      <c r="A41" t="s">
        <v>227</v>
      </c>
      <c r="B41" t="s">
        <v>228</v>
      </c>
      <c r="C41">
        <v>2.5330050000000002</v>
      </c>
      <c r="D41">
        <v>28.968993999999999</v>
      </c>
      <c r="E41">
        <v>0.19295229999999999</v>
      </c>
      <c r="F41">
        <v>24.6875</v>
      </c>
      <c r="G41">
        <v>1</v>
      </c>
      <c r="H41">
        <v>0.25</v>
      </c>
      <c r="I41">
        <v>4.0545999999999998</v>
      </c>
      <c r="J41">
        <v>6.5876000000000001</v>
      </c>
      <c r="K41">
        <v>5.62</v>
      </c>
      <c r="L41">
        <f>J41-K41</f>
        <v>0.96760000000000002</v>
      </c>
    </row>
    <row r="42" spans="1:12" x14ac:dyDescent="0.35">
      <c r="A42" t="s">
        <v>280</v>
      </c>
      <c r="B42" t="s">
        <v>281</v>
      </c>
      <c r="C42">
        <v>0.67287490000000005</v>
      </c>
      <c r="D42">
        <v>14.065092999999999</v>
      </c>
      <c r="E42">
        <v>-1.1920772E-2</v>
      </c>
      <c r="F42">
        <v>8.8000000000000007</v>
      </c>
      <c r="G42">
        <v>1</v>
      </c>
      <c r="H42">
        <v>0</v>
      </c>
      <c r="I42">
        <v>1.335</v>
      </c>
      <c r="J42">
        <v>2.0078999999999998</v>
      </c>
      <c r="K42">
        <v>1.1399999999999999</v>
      </c>
      <c r="L42">
        <f>J42-K42</f>
        <v>0.86789999999999989</v>
      </c>
    </row>
    <row r="43" spans="1:12" x14ac:dyDescent="0.35">
      <c r="A43" t="s">
        <v>255</v>
      </c>
      <c r="B43" t="s">
        <v>256</v>
      </c>
      <c r="C43">
        <v>2.3764120000000002</v>
      </c>
      <c r="D43">
        <v>20.353642000000001</v>
      </c>
      <c r="E43">
        <v>0.15802851000000001</v>
      </c>
      <c r="F43" s="1" t="s">
        <v>257</v>
      </c>
      <c r="G43">
        <v>1</v>
      </c>
      <c r="H43" s="1" t="s">
        <v>154</v>
      </c>
      <c r="I43">
        <v>2.9834999999999998</v>
      </c>
      <c r="J43">
        <v>5.3598999999999997</v>
      </c>
      <c r="K43">
        <v>4.51</v>
      </c>
      <c r="L43">
        <f>J43-K43</f>
        <v>0.84989999999999988</v>
      </c>
    </row>
    <row r="44" spans="1:12" x14ac:dyDescent="0.35">
      <c r="A44" t="s">
        <v>158</v>
      </c>
      <c r="B44" t="s">
        <v>159</v>
      </c>
      <c r="C44">
        <v>3.4573963000000001</v>
      </c>
      <c r="D44">
        <v>42.894390000000001</v>
      </c>
      <c r="E44">
        <v>0.29210750000000002</v>
      </c>
      <c r="F44" s="1" t="s">
        <v>160</v>
      </c>
      <c r="G44" s="1" t="s">
        <v>103</v>
      </c>
      <c r="H44" s="1" t="s">
        <v>161</v>
      </c>
      <c r="I44">
        <v>6.0420999999999996</v>
      </c>
      <c r="J44">
        <v>9.4994999999999994</v>
      </c>
      <c r="K44">
        <v>8.7100000000000009</v>
      </c>
      <c r="L44">
        <f>J44-K44</f>
        <v>0.78949999999999854</v>
      </c>
    </row>
    <row r="45" spans="1:12" x14ac:dyDescent="0.35">
      <c r="A45" t="s">
        <v>112</v>
      </c>
      <c r="B45" t="s">
        <v>113</v>
      </c>
      <c r="C45">
        <v>2.8475275</v>
      </c>
      <c r="D45">
        <v>53.281784000000002</v>
      </c>
      <c r="E45">
        <v>0.48972827000000002</v>
      </c>
      <c r="F45" s="1" t="s">
        <v>114</v>
      </c>
      <c r="G45" s="1" t="s">
        <v>115</v>
      </c>
      <c r="H45" s="1" t="s">
        <v>14</v>
      </c>
      <c r="I45">
        <v>8.2665000000000006</v>
      </c>
      <c r="J45">
        <v>11.114100000000001</v>
      </c>
      <c r="K45">
        <v>10.45</v>
      </c>
      <c r="L45">
        <f>J45-K45</f>
        <v>0.66410000000000124</v>
      </c>
    </row>
    <row r="46" spans="1:12" x14ac:dyDescent="0.35">
      <c r="A46" t="s">
        <v>261</v>
      </c>
      <c r="B46" t="s">
        <v>262</v>
      </c>
      <c r="C46">
        <v>2.0399048</v>
      </c>
      <c r="D46">
        <v>26.709379999999999</v>
      </c>
      <c r="E46">
        <v>6.7528866000000007E-2</v>
      </c>
      <c r="F46" s="1" t="s">
        <v>263</v>
      </c>
      <c r="G46">
        <v>3</v>
      </c>
      <c r="H46" s="1" t="s">
        <v>154</v>
      </c>
      <c r="I46">
        <v>3.0760999999999998</v>
      </c>
      <c r="J46">
        <v>5.1159999999999997</v>
      </c>
      <c r="K46">
        <v>4.54</v>
      </c>
      <c r="L46">
        <f>J46-K46</f>
        <v>0.57599999999999962</v>
      </c>
    </row>
    <row r="47" spans="1:12" x14ac:dyDescent="0.35">
      <c r="A47" t="s">
        <v>201</v>
      </c>
      <c r="B47" t="s">
        <v>202</v>
      </c>
      <c r="C47">
        <v>2.6012669000000002</v>
      </c>
      <c r="D47">
        <v>35.833460000000002</v>
      </c>
      <c r="E47">
        <v>0.20472872</v>
      </c>
      <c r="F47" s="1" t="s">
        <v>203</v>
      </c>
      <c r="G47">
        <v>1</v>
      </c>
      <c r="H47" s="1" t="s">
        <v>77</v>
      </c>
      <c r="I47">
        <v>4.8117000000000001</v>
      </c>
      <c r="J47">
        <v>7.4130000000000003</v>
      </c>
      <c r="K47" s="2">
        <v>6.96</v>
      </c>
      <c r="L47">
        <f>J47-K47</f>
        <v>0.45300000000000029</v>
      </c>
    </row>
    <row r="48" spans="1:12" x14ac:dyDescent="0.35">
      <c r="A48" t="s">
        <v>231</v>
      </c>
      <c r="B48" t="s">
        <v>232</v>
      </c>
      <c r="C48">
        <v>2.7408133000000001</v>
      </c>
      <c r="D48">
        <v>23.903645000000001</v>
      </c>
      <c r="E48">
        <v>0.17440285</v>
      </c>
      <c r="F48" s="1" t="s">
        <v>233</v>
      </c>
      <c r="G48" s="1" t="s">
        <v>24</v>
      </c>
      <c r="H48">
        <v>0</v>
      </c>
      <c r="I48">
        <v>3.4367999999999999</v>
      </c>
      <c r="J48">
        <v>6.1776</v>
      </c>
      <c r="K48">
        <v>5.74</v>
      </c>
      <c r="L48">
        <f>J48-K48</f>
        <v>0.43759999999999977</v>
      </c>
    </row>
    <row r="49" spans="1:12" x14ac:dyDescent="0.35">
      <c r="A49" t="s">
        <v>118</v>
      </c>
      <c r="B49" t="s">
        <v>119</v>
      </c>
      <c r="C49">
        <v>3.6871915</v>
      </c>
      <c r="D49">
        <v>47.977412999999999</v>
      </c>
      <c r="E49">
        <v>0.41371565999999999</v>
      </c>
      <c r="F49" s="1" t="s">
        <v>120</v>
      </c>
      <c r="G49" s="1" t="s">
        <v>54</v>
      </c>
      <c r="H49" s="1" t="s">
        <v>121</v>
      </c>
      <c r="I49">
        <v>7.28</v>
      </c>
      <c r="J49">
        <v>10.9672</v>
      </c>
      <c r="K49">
        <v>10.61</v>
      </c>
      <c r="L49">
        <f>J49-K49</f>
        <v>0.35720000000000063</v>
      </c>
    </row>
    <row r="50" spans="1:12" x14ac:dyDescent="0.35">
      <c r="A50" t="s">
        <v>194</v>
      </c>
      <c r="B50" t="s">
        <v>195</v>
      </c>
      <c r="C50">
        <v>2.3708615000000002</v>
      </c>
      <c r="D50">
        <v>46.892426</v>
      </c>
      <c r="E50">
        <v>0.14453636</v>
      </c>
      <c r="F50">
        <v>33.200000000000003</v>
      </c>
      <c r="G50" s="1" t="s">
        <v>54</v>
      </c>
      <c r="H50" s="1" t="s">
        <v>138</v>
      </c>
      <c r="I50">
        <v>5.5564999999999998</v>
      </c>
      <c r="J50">
        <v>7.9272999999999998</v>
      </c>
      <c r="K50">
        <v>7.6</v>
      </c>
      <c r="L50">
        <f>J50-K50</f>
        <v>0.32730000000000015</v>
      </c>
    </row>
    <row r="51" spans="1:12" x14ac:dyDescent="0.35">
      <c r="A51" t="s">
        <v>34</v>
      </c>
      <c r="B51" t="s">
        <v>35</v>
      </c>
      <c r="C51">
        <v>5.8354783000000001</v>
      </c>
      <c r="D51">
        <v>69.815439999999995</v>
      </c>
      <c r="E51">
        <v>0.40025505</v>
      </c>
      <c r="F51" s="1" t="s">
        <v>36</v>
      </c>
      <c r="G51" s="1" t="s">
        <v>37</v>
      </c>
      <c r="H51" s="1" t="s">
        <v>38</v>
      </c>
      <c r="I51">
        <v>9.3831000000000007</v>
      </c>
      <c r="J51">
        <v>15.2186</v>
      </c>
      <c r="K51">
        <v>14.95</v>
      </c>
      <c r="L51">
        <f>J51-K51</f>
        <v>0.26860000000000106</v>
      </c>
    </row>
    <row r="52" spans="1:12" x14ac:dyDescent="0.35">
      <c r="A52" t="s">
        <v>149</v>
      </c>
      <c r="B52" t="s">
        <v>150</v>
      </c>
      <c r="C52">
        <v>3.6788585</v>
      </c>
      <c r="D52">
        <v>52.984867000000001</v>
      </c>
      <c r="E52">
        <v>0.16605492999999999</v>
      </c>
      <c r="F52">
        <v>48.3125</v>
      </c>
      <c r="G52">
        <v>3</v>
      </c>
      <c r="H52">
        <v>0.4375</v>
      </c>
      <c r="I52">
        <v>6.2948000000000004</v>
      </c>
      <c r="J52">
        <v>9.9736999999999991</v>
      </c>
      <c r="K52">
        <v>9.7100000000000009</v>
      </c>
      <c r="L52">
        <f>J52-K52</f>
        <v>0.26369999999999827</v>
      </c>
    </row>
    <row r="53" spans="1:12" x14ac:dyDescent="0.35">
      <c r="A53" t="s">
        <v>144</v>
      </c>
      <c r="B53" t="s">
        <v>145</v>
      </c>
      <c r="C53">
        <v>3.9436876999999999</v>
      </c>
      <c r="D53">
        <v>37.82029</v>
      </c>
      <c r="E53">
        <v>0.24827990999999999</v>
      </c>
      <c r="F53">
        <v>28.3125</v>
      </c>
      <c r="G53">
        <v>2</v>
      </c>
      <c r="H53">
        <v>0.125</v>
      </c>
      <c r="I53">
        <v>5.2717000000000001</v>
      </c>
      <c r="J53">
        <v>9.2154000000000007</v>
      </c>
      <c r="K53">
        <v>8.98</v>
      </c>
      <c r="L53">
        <f>J53-K53</f>
        <v>0.23540000000000028</v>
      </c>
    </row>
    <row r="54" spans="1:12" x14ac:dyDescent="0.35">
      <c r="A54" t="s">
        <v>84</v>
      </c>
      <c r="B54" t="s">
        <v>85</v>
      </c>
      <c r="C54">
        <v>3.8840691999999999</v>
      </c>
      <c r="D54">
        <v>51.961692999999997</v>
      </c>
      <c r="E54">
        <v>0.50896850000000005</v>
      </c>
      <c r="F54" s="1" t="s">
        <v>86</v>
      </c>
      <c r="G54" s="1" t="s">
        <v>18</v>
      </c>
      <c r="H54" s="1" t="s">
        <v>87</v>
      </c>
      <c r="I54">
        <v>8.25</v>
      </c>
      <c r="J54">
        <v>12.134</v>
      </c>
      <c r="K54">
        <v>12.05</v>
      </c>
      <c r="L54">
        <f>J54-K54</f>
        <v>8.3999999999999631E-2</v>
      </c>
    </row>
    <row r="55" spans="1:12" x14ac:dyDescent="0.35">
      <c r="A55" t="s">
        <v>224</v>
      </c>
      <c r="B55" t="s">
        <v>225</v>
      </c>
      <c r="C55">
        <v>2.0025270000000002</v>
      </c>
      <c r="D55">
        <v>32.347839999999998</v>
      </c>
      <c r="E55">
        <v>0.24180357</v>
      </c>
      <c r="F55" s="1" t="s">
        <v>226</v>
      </c>
      <c r="G55">
        <v>1</v>
      </c>
      <c r="H55" s="1" t="s">
        <v>208</v>
      </c>
      <c r="I55">
        <v>4.6856</v>
      </c>
      <c r="J55">
        <v>6.6881000000000004</v>
      </c>
      <c r="K55">
        <v>6.71</v>
      </c>
      <c r="L55">
        <f>J55-K55</f>
        <v>-2.1899999999999586E-2</v>
      </c>
    </row>
    <row r="56" spans="1:12" x14ac:dyDescent="0.35">
      <c r="A56" t="s">
        <v>10</v>
      </c>
      <c r="B56" t="s">
        <v>11</v>
      </c>
      <c r="C56">
        <v>7.4629082999999996</v>
      </c>
      <c r="D56">
        <v>92.645250000000004</v>
      </c>
      <c r="E56">
        <v>0.35227478000000001</v>
      </c>
      <c r="F56" s="1" t="s">
        <v>12</v>
      </c>
      <c r="G56" s="1" t="s">
        <v>13</v>
      </c>
      <c r="H56" s="1" t="s">
        <v>14</v>
      </c>
      <c r="I56">
        <v>11.3782</v>
      </c>
      <c r="J56">
        <v>18.841100000000001</v>
      </c>
      <c r="K56">
        <v>18.940000000000001</v>
      </c>
      <c r="L56">
        <f>J56-K56</f>
        <v>-9.8900000000000432E-2</v>
      </c>
    </row>
    <row r="57" spans="1:12" x14ac:dyDescent="0.35">
      <c r="A57" t="s">
        <v>92</v>
      </c>
      <c r="B57" t="s">
        <v>93</v>
      </c>
      <c r="C57">
        <v>3.1971538000000002</v>
      </c>
      <c r="D57">
        <v>74.463775999999996</v>
      </c>
      <c r="E57">
        <v>0.18674697000000001</v>
      </c>
      <c r="F57" s="1" t="s">
        <v>94</v>
      </c>
      <c r="G57" s="1" t="s">
        <v>37</v>
      </c>
      <c r="H57" s="1" t="s">
        <v>25</v>
      </c>
      <c r="I57">
        <v>8.5669000000000004</v>
      </c>
      <c r="J57">
        <v>11.763999999999999</v>
      </c>
      <c r="K57">
        <v>11.88</v>
      </c>
      <c r="L57">
        <f>J57-K57</f>
        <v>-0.11600000000000144</v>
      </c>
    </row>
    <row r="58" spans="1:12" x14ac:dyDescent="0.35">
      <c r="A58" t="s">
        <v>170</v>
      </c>
      <c r="B58" t="s">
        <v>171</v>
      </c>
      <c r="C58">
        <v>2.4963782000000001</v>
      </c>
      <c r="D58">
        <v>43.971862999999999</v>
      </c>
      <c r="E58">
        <v>0.37983254</v>
      </c>
      <c r="F58" s="1" t="s">
        <v>172</v>
      </c>
      <c r="G58" s="1" t="s">
        <v>169</v>
      </c>
      <c r="H58" s="1" t="s">
        <v>25</v>
      </c>
      <c r="I58">
        <v>6.6761999999999997</v>
      </c>
      <c r="J58">
        <v>9.1725999999999992</v>
      </c>
      <c r="K58">
        <v>9.31</v>
      </c>
      <c r="L58">
        <f>J58-K58</f>
        <v>-0.1374000000000013</v>
      </c>
    </row>
    <row r="59" spans="1:12" x14ac:dyDescent="0.35">
      <c r="A59" t="s">
        <v>270</v>
      </c>
      <c r="B59" t="s">
        <v>271</v>
      </c>
      <c r="C59">
        <v>2.0921729999999998</v>
      </c>
      <c r="D59">
        <v>17.640847999999998</v>
      </c>
      <c r="E59">
        <v>9.2957440000000002E-2</v>
      </c>
      <c r="F59" s="1" t="s">
        <v>272</v>
      </c>
      <c r="G59" s="1" t="s">
        <v>103</v>
      </c>
      <c r="H59">
        <v>7.69230769230769E-2</v>
      </c>
      <c r="I59">
        <v>2.3218000000000001</v>
      </c>
      <c r="J59">
        <v>4.4139999999999997</v>
      </c>
      <c r="K59">
        <v>4.59</v>
      </c>
      <c r="L59">
        <f>J59-K59</f>
        <v>-0.17600000000000016</v>
      </c>
    </row>
    <row r="60" spans="1:12" x14ac:dyDescent="0.35">
      <c r="A60" t="s">
        <v>151</v>
      </c>
      <c r="B60" t="s">
        <v>152</v>
      </c>
      <c r="C60">
        <v>2.2389388000000001</v>
      </c>
      <c r="D60">
        <v>57.543007000000003</v>
      </c>
      <c r="E60">
        <v>0.13506194999999999</v>
      </c>
      <c r="F60" s="1" t="s">
        <v>153</v>
      </c>
      <c r="G60" s="1" t="s">
        <v>103</v>
      </c>
      <c r="H60" s="1" t="s">
        <v>157</v>
      </c>
      <c r="I60">
        <v>6.5647000000000002</v>
      </c>
      <c r="J60">
        <v>8.8035999999999994</v>
      </c>
      <c r="K60">
        <v>9.06</v>
      </c>
      <c r="L60">
        <f>J60-K60</f>
        <v>-0.25640000000000107</v>
      </c>
    </row>
    <row r="61" spans="1:12" x14ac:dyDescent="0.35">
      <c r="A61" t="s">
        <v>15</v>
      </c>
      <c r="B61" t="s">
        <v>16</v>
      </c>
      <c r="C61">
        <v>5.9774289999999999</v>
      </c>
      <c r="D61">
        <v>77.60539</v>
      </c>
      <c r="E61">
        <v>0.67244064999999997</v>
      </c>
      <c r="F61" s="1" t="s">
        <v>17</v>
      </c>
      <c r="G61" s="1" t="s">
        <v>18</v>
      </c>
      <c r="H61">
        <v>0.25</v>
      </c>
      <c r="I61">
        <v>11.795199999999999</v>
      </c>
      <c r="J61">
        <v>17.772600000000001</v>
      </c>
      <c r="K61">
        <v>18.16</v>
      </c>
      <c r="L61">
        <f>J61-K61</f>
        <v>-0.38739999999999952</v>
      </c>
    </row>
    <row r="62" spans="1:12" x14ac:dyDescent="0.35">
      <c r="A62" t="s">
        <v>180</v>
      </c>
      <c r="B62" t="s">
        <v>181</v>
      </c>
      <c r="C62">
        <v>3.0683718</v>
      </c>
      <c r="D62">
        <v>43.432644000000003</v>
      </c>
      <c r="E62">
        <v>0.17068665</v>
      </c>
      <c r="F62">
        <v>37.6</v>
      </c>
      <c r="G62">
        <v>3</v>
      </c>
      <c r="H62" s="1" t="s">
        <v>146</v>
      </c>
      <c r="I62">
        <v>5.3673999999999999</v>
      </c>
      <c r="J62">
        <v>8.4358000000000004</v>
      </c>
      <c r="K62">
        <v>8.89</v>
      </c>
      <c r="L62">
        <f>J62-K62</f>
        <v>-0.45420000000000016</v>
      </c>
    </row>
    <row r="63" spans="1:12" x14ac:dyDescent="0.35">
      <c r="A63" t="s">
        <v>42</v>
      </c>
      <c r="B63" t="s">
        <v>43</v>
      </c>
      <c r="C63">
        <v>4.6751430000000003</v>
      </c>
      <c r="D63">
        <v>67.716700000000003</v>
      </c>
      <c r="E63">
        <v>0.43203786</v>
      </c>
      <c r="F63">
        <v>58.0625</v>
      </c>
      <c r="G63">
        <v>3</v>
      </c>
      <c r="H63">
        <v>0.4375</v>
      </c>
      <c r="I63">
        <v>9.3638999999999992</v>
      </c>
      <c r="J63">
        <v>14.039</v>
      </c>
      <c r="K63">
        <v>14.68</v>
      </c>
      <c r="L63">
        <f>J63-K63</f>
        <v>-0.64100000000000001</v>
      </c>
    </row>
    <row r="64" spans="1:12" x14ac:dyDescent="0.35">
      <c r="A64" t="s">
        <v>66</v>
      </c>
      <c r="B64" t="s">
        <v>67</v>
      </c>
      <c r="C64">
        <v>4.964391</v>
      </c>
      <c r="D64">
        <v>63.237926000000002</v>
      </c>
      <c r="E64">
        <v>0.29262664999999999</v>
      </c>
      <c r="F64" s="1" t="s">
        <v>68</v>
      </c>
      <c r="G64" s="1" t="s">
        <v>63</v>
      </c>
      <c r="H64" s="1" t="s">
        <v>69</v>
      </c>
      <c r="I64">
        <v>8.0795999999999992</v>
      </c>
      <c r="J64">
        <v>13.043900000000001</v>
      </c>
      <c r="K64">
        <v>13.73</v>
      </c>
      <c r="L64">
        <f>J64-K64</f>
        <v>-0.68609999999999971</v>
      </c>
    </row>
    <row r="65" spans="1:12" x14ac:dyDescent="0.35">
      <c r="A65" t="s">
        <v>39</v>
      </c>
      <c r="B65" t="s">
        <v>40</v>
      </c>
      <c r="C65">
        <v>5.5589665999999998</v>
      </c>
      <c r="D65">
        <v>63.603523000000003</v>
      </c>
      <c r="E65">
        <v>0.36826177999999998</v>
      </c>
      <c r="F65">
        <v>63.375</v>
      </c>
      <c r="G65" s="1" t="s">
        <v>41</v>
      </c>
      <c r="H65">
        <v>0.25</v>
      </c>
      <c r="I65">
        <v>8.5699000000000005</v>
      </c>
      <c r="J65">
        <v>14.1289</v>
      </c>
      <c r="K65">
        <v>14.88</v>
      </c>
      <c r="L65">
        <f>J65-K65</f>
        <v>-0.75110000000000099</v>
      </c>
    </row>
    <row r="66" spans="1:12" x14ac:dyDescent="0.35">
      <c r="A66" t="s">
        <v>252</v>
      </c>
      <c r="B66" t="s">
        <v>253</v>
      </c>
      <c r="C66">
        <v>0.59394395</v>
      </c>
      <c r="D66">
        <v>25.429613</v>
      </c>
      <c r="E66">
        <v>6.7498459999999996E-2</v>
      </c>
      <c r="F66" s="1" t="s">
        <v>254</v>
      </c>
      <c r="G66" s="1" t="s">
        <v>103</v>
      </c>
      <c r="H66">
        <v>0</v>
      </c>
      <c r="I66">
        <v>2.948</v>
      </c>
      <c r="J66">
        <v>3.5419</v>
      </c>
      <c r="K66">
        <v>4.37</v>
      </c>
      <c r="L66">
        <f>J66-K66</f>
        <v>-0.82810000000000006</v>
      </c>
    </row>
    <row r="67" spans="1:12" x14ac:dyDescent="0.35">
      <c r="A67" t="s">
        <v>175</v>
      </c>
      <c r="B67" t="s">
        <v>176</v>
      </c>
      <c r="C67">
        <v>2.3722349999999999</v>
      </c>
      <c r="D67">
        <v>38.113390000000003</v>
      </c>
      <c r="E67">
        <v>0.39827356000000003</v>
      </c>
      <c r="F67">
        <v>31.375</v>
      </c>
      <c r="G67" s="1" t="s">
        <v>103</v>
      </c>
      <c r="H67">
        <v>0.3125</v>
      </c>
      <c r="I67">
        <v>6.2009999999999996</v>
      </c>
      <c r="J67">
        <v>8.5731999999999999</v>
      </c>
      <c r="K67">
        <v>9.65</v>
      </c>
      <c r="L67">
        <f>J67-K67</f>
        <v>-1.0768000000000004</v>
      </c>
    </row>
    <row r="68" spans="1:12" x14ac:dyDescent="0.35">
      <c r="A68" t="s">
        <v>213</v>
      </c>
      <c r="B68" t="s">
        <v>214</v>
      </c>
      <c r="C68">
        <v>2.1777690000000001</v>
      </c>
      <c r="D68">
        <v>31.759886000000002</v>
      </c>
      <c r="E68">
        <v>0.19691728</v>
      </c>
      <c r="F68">
        <v>9.8000000000000007</v>
      </c>
      <c r="G68">
        <v>2</v>
      </c>
      <c r="H68">
        <v>0</v>
      </c>
      <c r="I68">
        <v>4.3574999999999999</v>
      </c>
      <c r="J68">
        <v>6.5353000000000003</v>
      </c>
      <c r="K68">
        <v>7.72</v>
      </c>
      <c r="L68">
        <f>J68-K68</f>
        <v>-1.1846999999999994</v>
      </c>
    </row>
    <row r="69" spans="1:12" x14ac:dyDescent="0.35">
      <c r="A69" t="s">
        <v>234</v>
      </c>
      <c r="B69" t="s">
        <v>235</v>
      </c>
      <c r="C69">
        <v>2.3685374000000001</v>
      </c>
      <c r="D69">
        <v>29.479552999999999</v>
      </c>
      <c r="E69">
        <v>0.12618276</v>
      </c>
      <c r="F69">
        <v>17</v>
      </c>
      <c r="G69" s="1" t="s">
        <v>169</v>
      </c>
      <c r="H69" s="1" t="s">
        <v>98</v>
      </c>
      <c r="I69">
        <v>3.7050999999999998</v>
      </c>
      <c r="J69">
        <v>6.0735999999999999</v>
      </c>
      <c r="K69">
        <v>7.31</v>
      </c>
      <c r="L69">
        <f>J69-K69</f>
        <v>-1.2363999999999997</v>
      </c>
    </row>
    <row r="70" spans="1:12" x14ac:dyDescent="0.35">
      <c r="A70" t="s">
        <v>64</v>
      </c>
      <c r="B70" t="s">
        <v>65</v>
      </c>
      <c r="C70">
        <v>5.0097975999999997</v>
      </c>
      <c r="D70">
        <v>52.604680000000002</v>
      </c>
      <c r="E70">
        <v>0.47772140000000002</v>
      </c>
      <c r="F70">
        <v>67.0625</v>
      </c>
      <c r="G70" s="1" t="s">
        <v>47</v>
      </c>
      <c r="H70">
        <v>0.1875</v>
      </c>
      <c r="I70">
        <v>8.1267999999999994</v>
      </c>
      <c r="J70">
        <v>13.1366</v>
      </c>
      <c r="K70">
        <v>14.4</v>
      </c>
      <c r="L70">
        <f>J70-K70</f>
        <v>-1.2634000000000007</v>
      </c>
    </row>
    <row r="71" spans="1:12" x14ac:dyDescent="0.35">
      <c r="A71" t="s">
        <v>277</v>
      </c>
      <c r="B71" t="s">
        <v>278</v>
      </c>
      <c r="C71">
        <v>1.2824663000000001</v>
      </c>
      <c r="D71">
        <v>19.128128</v>
      </c>
      <c r="E71">
        <v>5.5745099999999999E-2</v>
      </c>
      <c r="F71" s="1" t="s">
        <v>279</v>
      </c>
      <c r="G71" s="1" t="s">
        <v>103</v>
      </c>
      <c r="H71">
        <v>0</v>
      </c>
      <c r="I71">
        <v>2.2473000000000001</v>
      </c>
      <c r="J71">
        <v>3.5297000000000001</v>
      </c>
      <c r="K71">
        <v>4.88</v>
      </c>
      <c r="L71">
        <f>J71-K71</f>
        <v>-1.3502999999999998</v>
      </c>
    </row>
    <row r="72" spans="1:12" x14ac:dyDescent="0.35">
      <c r="A72" t="s">
        <v>26</v>
      </c>
      <c r="B72" t="s">
        <v>27</v>
      </c>
      <c r="C72">
        <v>4.9399610000000003</v>
      </c>
      <c r="D72">
        <v>69.873279999999994</v>
      </c>
      <c r="E72">
        <v>0.69678289999999998</v>
      </c>
      <c r="F72">
        <v>78.875</v>
      </c>
      <c r="G72" s="1" t="s">
        <v>28</v>
      </c>
      <c r="H72">
        <v>0.6875</v>
      </c>
      <c r="I72">
        <v>11.167999999999999</v>
      </c>
      <c r="J72">
        <v>16.108000000000001</v>
      </c>
      <c r="K72">
        <v>17.489999999999998</v>
      </c>
      <c r="L72">
        <f>J72-K72</f>
        <v>-1.3819999999999979</v>
      </c>
    </row>
    <row r="73" spans="1:12" x14ac:dyDescent="0.35">
      <c r="A73" t="s">
        <v>236</v>
      </c>
      <c r="B73" t="s">
        <v>237</v>
      </c>
      <c r="C73">
        <v>2.6567504</v>
      </c>
      <c r="D73">
        <v>23.274574000000001</v>
      </c>
      <c r="E73">
        <v>0.17729228999999999</v>
      </c>
      <c r="F73">
        <v>19.4375</v>
      </c>
      <c r="G73">
        <v>1</v>
      </c>
      <c r="H73">
        <v>0.125</v>
      </c>
      <c r="I73">
        <v>3.3912</v>
      </c>
      <c r="J73">
        <v>6.048</v>
      </c>
      <c r="K73">
        <v>7.58</v>
      </c>
      <c r="L73">
        <f>J73-K73</f>
        <v>-1.532</v>
      </c>
    </row>
    <row r="74" spans="1:12" x14ac:dyDescent="0.35">
      <c r="A74" t="s">
        <v>238</v>
      </c>
      <c r="B74" t="s">
        <v>239</v>
      </c>
      <c r="C74">
        <v>2.1974478</v>
      </c>
      <c r="D74">
        <v>30.964812999999999</v>
      </c>
      <c r="E74">
        <v>0.12447248</v>
      </c>
      <c r="F74" s="1" t="s">
        <v>240</v>
      </c>
      <c r="G74" s="1" t="s">
        <v>103</v>
      </c>
      <c r="H74">
        <v>6.6666666666666596E-2</v>
      </c>
      <c r="I74">
        <v>3.8433000000000002</v>
      </c>
      <c r="J74">
        <v>6.0407999999999999</v>
      </c>
      <c r="K74">
        <v>7.61</v>
      </c>
      <c r="L74">
        <f>J74-K74</f>
        <v>-1.5692000000000004</v>
      </c>
    </row>
    <row r="75" spans="1:12" x14ac:dyDescent="0.35">
      <c r="A75" t="s">
        <v>81</v>
      </c>
      <c r="B75" t="s">
        <v>82</v>
      </c>
      <c r="C75">
        <v>3.8341056999999998</v>
      </c>
      <c r="D75">
        <v>61.714374999999997</v>
      </c>
      <c r="E75">
        <v>0.23694345</v>
      </c>
      <c r="F75" s="1" t="s">
        <v>83</v>
      </c>
      <c r="G75" s="1" t="s">
        <v>54</v>
      </c>
      <c r="H75">
        <v>0.1875</v>
      </c>
      <c r="I75">
        <v>7.5930999999999997</v>
      </c>
      <c r="J75">
        <v>11.427199999999999</v>
      </c>
      <c r="K75">
        <v>13.04</v>
      </c>
      <c r="L75">
        <f>J75-K75</f>
        <v>-1.6128</v>
      </c>
    </row>
    <row r="76" spans="1:12" x14ac:dyDescent="0.35">
      <c r="A76" t="s">
        <v>134</v>
      </c>
      <c r="B76" t="s">
        <v>135</v>
      </c>
      <c r="C76">
        <v>4.390415</v>
      </c>
      <c r="D76">
        <v>57.068159999999999</v>
      </c>
      <c r="E76">
        <v>3.2083782999999998E-2</v>
      </c>
      <c r="F76">
        <v>44</v>
      </c>
      <c r="G76" s="1" t="s">
        <v>115</v>
      </c>
      <c r="H76">
        <v>0.25</v>
      </c>
      <c r="I76">
        <v>5.8993000000000002</v>
      </c>
      <c r="J76">
        <v>10.2897</v>
      </c>
      <c r="K76">
        <v>11.93</v>
      </c>
      <c r="L76">
        <f>J76-K76</f>
        <v>-1.6402999999999999</v>
      </c>
    </row>
    <row r="77" spans="1:12" x14ac:dyDescent="0.35">
      <c r="A77" t="s">
        <v>185</v>
      </c>
      <c r="B77" t="s">
        <v>186</v>
      </c>
      <c r="C77">
        <v>2.499193</v>
      </c>
      <c r="D77">
        <v>55.852820000000001</v>
      </c>
      <c r="E77">
        <v>4.3074886999999999E-2</v>
      </c>
      <c r="F77" s="1" t="s">
        <v>187</v>
      </c>
      <c r="G77" s="1" t="s">
        <v>131</v>
      </c>
      <c r="H77" s="1" t="s">
        <v>87</v>
      </c>
      <c r="I77">
        <v>5.8437000000000001</v>
      </c>
      <c r="J77">
        <v>8.3429000000000002</v>
      </c>
      <c r="K77">
        <v>10.14</v>
      </c>
      <c r="L77">
        <f>J77-K77</f>
        <v>-1.7971000000000004</v>
      </c>
    </row>
    <row r="78" spans="1:12" x14ac:dyDescent="0.35">
      <c r="A78" t="s">
        <v>165</v>
      </c>
      <c r="B78" t="s">
        <v>166</v>
      </c>
      <c r="C78">
        <v>2.9575520000000002</v>
      </c>
      <c r="D78">
        <v>53.402397000000001</v>
      </c>
      <c r="E78">
        <v>0.17667537999999999</v>
      </c>
      <c r="F78">
        <v>34.700000000000003</v>
      </c>
      <c r="G78">
        <v>3</v>
      </c>
      <c r="H78">
        <v>0.2</v>
      </c>
      <c r="I78">
        <v>6.4002999999999997</v>
      </c>
      <c r="J78">
        <v>9.3577999999999992</v>
      </c>
      <c r="K78">
        <v>11.3</v>
      </c>
      <c r="L78">
        <f>J78-K78</f>
        <v>-1.9422000000000015</v>
      </c>
    </row>
    <row r="79" spans="1:12" x14ac:dyDescent="0.35">
      <c r="A79" t="s">
        <v>104</v>
      </c>
      <c r="B79" t="s">
        <v>105</v>
      </c>
      <c r="C79">
        <v>4.0190834999999998</v>
      </c>
      <c r="D79">
        <v>63.507626000000002</v>
      </c>
      <c r="E79">
        <v>0.15092221</v>
      </c>
      <c r="F79" s="1" t="s">
        <v>106</v>
      </c>
      <c r="G79" s="1" t="s">
        <v>47</v>
      </c>
      <c r="H79" s="1" t="s">
        <v>107</v>
      </c>
      <c r="I79">
        <v>7.2563000000000004</v>
      </c>
      <c r="J79">
        <v>11.275399999999999</v>
      </c>
      <c r="K79">
        <v>13.33</v>
      </c>
      <c r="L79">
        <f>J79-K79</f>
        <v>-2.0546000000000006</v>
      </c>
    </row>
    <row r="80" spans="1:12" x14ac:dyDescent="0.35">
      <c r="A80" t="s">
        <v>273</v>
      </c>
      <c r="B80" t="s">
        <v>274</v>
      </c>
      <c r="C80">
        <v>1.3980663</v>
      </c>
      <c r="D80">
        <v>21.954499999999999</v>
      </c>
      <c r="E80">
        <v>0.11167799</v>
      </c>
      <c r="F80">
        <v>11.5</v>
      </c>
      <c r="G80" s="1" t="s">
        <v>131</v>
      </c>
      <c r="H80">
        <v>0.125</v>
      </c>
      <c r="I80">
        <v>2.8654999999999999</v>
      </c>
      <c r="J80">
        <v>4.2636000000000003</v>
      </c>
      <c r="K80">
        <v>6.38</v>
      </c>
      <c r="L80">
        <f>J80-K80</f>
        <v>-2.1163999999999996</v>
      </c>
    </row>
    <row r="81" spans="1:12" x14ac:dyDescent="0.35">
      <c r="A81" t="s">
        <v>209</v>
      </c>
      <c r="B81" t="s">
        <v>210</v>
      </c>
      <c r="C81">
        <v>3.1774578</v>
      </c>
      <c r="D81">
        <v>35.588802000000001</v>
      </c>
      <c r="E81">
        <v>0.10608572500000001</v>
      </c>
      <c r="F81">
        <v>36.5625</v>
      </c>
      <c r="G81" s="1" t="s">
        <v>54</v>
      </c>
      <c r="H81">
        <v>0.125</v>
      </c>
      <c r="I81">
        <v>4.1954000000000002</v>
      </c>
      <c r="J81">
        <v>7.3728999999999996</v>
      </c>
      <c r="K81">
        <v>9.61</v>
      </c>
      <c r="L81">
        <f>J81-K81</f>
        <v>-2.2370999999999999</v>
      </c>
    </row>
    <row r="82" spans="1:12" x14ac:dyDescent="0.35">
      <c r="A82" t="s">
        <v>188</v>
      </c>
      <c r="B82" t="s">
        <v>189</v>
      </c>
      <c r="C82">
        <v>3.3150363</v>
      </c>
      <c r="D82">
        <v>39.866863000000002</v>
      </c>
      <c r="E82">
        <v>0.16146782000000001</v>
      </c>
      <c r="F82">
        <v>41</v>
      </c>
      <c r="G82" s="1" t="s">
        <v>54</v>
      </c>
      <c r="H82">
        <v>0.375</v>
      </c>
      <c r="I82">
        <v>4.9554999999999998</v>
      </c>
      <c r="J82">
        <v>8.2705000000000002</v>
      </c>
      <c r="K82">
        <v>10.66</v>
      </c>
      <c r="L82">
        <f>J82-K82</f>
        <v>-2.3895</v>
      </c>
    </row>
    <row r="83" spans="1:12" x14ac:dyDescent="0.35">
      <c r="A83" t="s">
        <v>243</v>
      </c>
      <c r="B83" t="s">
        <v>244</v>
      </c>
      <c r="C83">
        <v>2.2460960999999999</v>
      </c>
      <c r="D83">
        <v>26.75966</v>
      </c>
      <c r="E83">
        <v>0.15338399999999999</v>
      </c>
      <c r="F83" s="1" t="s">
        <v>245</v>
      </c>
      <c r="G83" s="1" t="s">
        <v>169</v>
      </c>
      <c r="H83">
        <v>7.1428571428571397E-2</v>
      </c>
      <c r="I83">
        <v>3.5962999999999998</v>
      </c>
      <c r="J83">
        <v>5.8423999999999996</v>
      </c>
      <c r="K83">
        <v>8.39</v>
      </c>
      <c r="L83">
        <f>J83-K83</f>
        <v>-2.547600000000001</v>
      </c>
    </row>
    <row r="84" spans="1:12" x14ac:dyDescent="0.35">
      <c r="A84" t="s">
        <v>31</v>
      </c>
      <c r="B84" t="s">
        <v>32</v>
      </c>
      <c r="C84">
        <v>6.4875072999999999</v>
      </c>
      <c r="D84">
        <v>81.447159999999997</v>
      </c>
      <c r="E84">
        <v>0.16115380000000001</v>
      </c>
      <c r="F84" s="1" t="s">
        <v>33</v>
      </c>
      <c r="G84" s="1" t="s">
        <v>13</v>
      </c>
      <c r="H84">
        <v>0.6</v>
      </c>
      <c r="I84">
        <v>9.1115999999999993</v>
      </c>
      <c r="J84">
        <v>15.5991</v>
      </c>
      <c r="K84">
        <v>18.32</v>
      </c>
      <c r="L84">
        <f>J84-K84</f>
        <v>-2.7209000000000003</v>
      </c>
    </row>
    <row r="85" spans="1:12" x14ac:dyDescent="0.35">
      <c r="A85" t="s">
        <v>211</v>
      </c>
      <c r="B85" t="s">
        <v>212</v>
      </c>
      <c r="C85">
        <v>3.6285509999999999</v>
      </c>
      <c r="D85">
        <v>30.875278000000002</v>
      </c>
      <c r="E85">
        <v>9.6853439999999999E-2</v>
      </c>
      <c r="F85">
        <v>41.625</v>
      </c>
      <c r="G85">
        <v>3</v>
      </c>
      <c r="H85">
        <v>0.3125</v>
      </c>
      <c r="I85">
        <v>3.6686000000000001</v>
      </c>
      <c r="J85">
        <v>7.2972000000000001</v>
      </c>
      <c r="K85">
        <v>10.15</v>
      </c>
      <c r="L85">
        <f>J85-K85</f>
        <v>-2.8528000000000002</v>
      </c>
    </row>
    <row r="86" spans="1:12" x14ac:dyDescent="0.35">
      <c r="A86" t="s">
        <v>275</v>
      </c>
      <c r="B86" t="s">
        <v>276</v>
      </c>
      <c r="C86">
        <v>2.0676587</v>
      </c>
      <c r="D86">
        <v>14.340157</v>
      </c>
      <c r="E86">
        <v>0.10319209999999999</v>
      </c>
      <c r="F86">
        <v>23</v>
      </c>
      <c r="G86">
        <v>1</v>
      </c>
      <c r="H86">
        <v>0.2</v>
      </c>
      <c r="I86">
        <v>2.0531999999999999</v>
      </c>
      <c r="J86">
        <v>4.1208</v>
      </c>
      <c r="K86">
        <v>7.07</v>
      </c>
      <c r="L86">
        <f>J86-K86</f>
        <v>-2.9492000000000003</v>
      </c>
    </row>
    <row r="87" spans="1:12" x14ac:dyDescent="0.35">
      <c r="A87" t="s">
        <v>282</v>
      </c>
      <c r="B87" t="s">
        <v>283</v>
      </c>
      <c r="C87">
        <v>0.4255217</v>
      </c>
      <c r="D87">
        <v>13.720843</v>
      </c>
      <c r="E87">
        <v>-4.1386199999999998E-2</v>
      </c>
      <c r="F87">
        <v>12</v>
      </c>
      <c r="G87" s="1" t="s">
        <v>25</v>
      </c>
      <c r="H87">
        <v>0</v>
      </c>
      <c r="I87">
        <v>1.1237999999999999</v>
      </c>
      <c r="J87">
        <v>1.5492999999999999</v>
      </c>
      <c r="K87">
        <v>4.6500000000000004</v>
      </c>
      <c r="L87">
        <f>J87-K87</f>
        <v>-3.1007000000000007</v>
      </c>
    </row>
    <row r="88" spans="1:12" x14ac:dyDescent="0.35">
      <c r="A88" t="s">
        <v>268</v>
      </c>
      <c r="B88" t="s">
        <v>269</v>
      </c>
      <c r="C88">
        <v>1.7445132000000001</v>
      </c>
      <c r="D88">
        <v>20.329546000000001</v>
      </c>
      <c r="E88">
        <v>0.10969851999999999</v>
      </c>
      <c r="F88">
        <v>25.75</v>
      </c>
      <c r="G88">
        <v>3</v>
      </c>
      <c r="H88">
        <v>0.25</v>
      </c>
      <c r="I88">
        <v>2.6911</v>
      </c>
      <c r="J88">
        <v>4.4356999999999998</v>
      </c>
      <c r="K88">
        <v>7.61</v>
      </c>
      <c r="L88">
        <f>J88-K88</f>
        <v>-3.1743000000000006</v>
      </c>
    </row>
    <row r="89" spans="1:12" x14ac:dyDescent="0.35">
      <c r="A89" t="s">
        <v>58</v>
      </c>
      <c r="B89" t="s">
        <v>59</v>
      </c>
      <c r="C89">
        <v>5.8217319999999999</v>
      </c>
      <c r="D89">
        <v>58.525393999999999</v>
      </c>
      <c r="E89">
        <v>0.31109520000000002</v>
      </c>
      <c r="F89">
        <v>88.75</v>
      </c>
      <c r="G89" s="1" t="s">
        <v>47</v>
      </c>
      <c r="H89">
        <v>0.5625</v>
      </c>
      <c r="I89">
        <v>7.7191000000000001</v>
      </c>
      <c r="J89">
        <v>13.540800000000001</v>
      </c>
      <c r="K89">
        <v>16.72</v>
      </c>
      <c r="L89">
        <f>J89-K89</f>
        <v>-3.179199999999998</v>
      </c>
    </row>
    <row r="90" spans="1:12" x14ac:dyDescent="0.35">
      <c r="A90" t="s">
        <v>110</v>
      </c>
      <c r="B90" t="s">
        <v>111</v>
      </c>
      <c r="C90">
        <v>3.9885852000000002</v>
      </c>
      <c r="D90">
        <v>50.723002999999999</v>
      </c>
      <c r="E90">
        <v>0.35685289999999997</v>
      </c>
      <c r="F90">
        <v>64.6875</v>
      </c>
      <c r="G90" s="1" t="s">
        <v>47</v>
      </c>
      <c r="H90">
        <v>0.4375</v>
      </c>
      <c r="I90">
        <v>7.2134</v>
      </c>
      <c r="J90">
        <v>11.202</v>
      </c>
      <c r="K90">
        <v>14.58</v>
      </c>
      <c r="L90">
        <f>J90-K90</f>
        <v>-3.3780000000000001</v>
      </c>
    </row>
    <row r="91" spans="1:12" x14ac:dyDescent="0.35">
      <c r="A91" t="s">
        <v>78</v>
      </c>
      <c r="B91" t="s">
        <v>79</v>
      </c>
      <c r="C91">
        <v>5.0914073000000002</v>
      </c>
      <c r="D91">
        <v>67.73809</v>
      </c>
      <c r="E91">
        <v>0.10987676</v>
      </c>
      <c r="F91" s="1" t="s">
        <v>80</v>
      </c>
      <c r="G91" s="1" t="s">
        <v>54</v>
      </c>
      <c r="H91">
        <v>0.4</v>
      </c>
      <c r="I91">
        <v>7.4330999999999996</v>
      </c>
      <c r="J91">
        <v>12.5245</v>
      </c>
      <c r="K91">
        <v>15.99</v>
      </c>
      <c r="L91">
        <f>J91-K91</f>
        <v>-3.4655000000000005</v>
      </c>
    </row>
    <row r="92" spans="1:12" x14ac:dyDescent="0.35">
      <c r="A92" t="s">
        <v>167</v>
      </c>
      <c r="B92" t="s">
        <v>168</v>
      </c>
      <c r="C92">
        <v>3.9123768999999999</v>
      </c>
      <c r="D92">
        <v>49.176609999999997</v>
      </c>
      <c r="E92">
        <v>6.8756499999999998E-2</v>
      </c>
      <c r="F92">
        <v>56.875</v>
      </c>
      <c r="G92" s="1" t="s">
        <v>169</v>
      </c>
      <c r="H92">
        <v>0.375</v>
      </c>
      <c r="I92">
        <v>5.3301999999999996</v>
      </c>
      <c r="J92">
        <v>9.2425999999999995</v>
      </c>
      <c r="K92">
        <v>12.75</v>
      </c>
      <c r="L92">
        <f>J92-K92</f>
        <v>-3.5074000000000005</v>
      </c>
    </row>
    <row r="93" spans="1:12" x14ac:dyDescent="0.35">
      <c r="A93" t="s">
        <v>215</v>
      </c>
      <c r="B93" t="s">
        <v>216</v>
      </c>
      <c r="C93">
        <v>2.8368072999999998</v>
      </c>
      <c r="D93">
        <v>30.333206000000001</v>
      </c>
      <c r="E93">
        <v>0.19004268999999999</v>
      </c>
      <c r="F93" s="1" t="s">
        <v>217</v>
      </c>
      <c r="G93" s="1" t="s">
        <v>54</v>
      </c>
      <c r="H93" s="1" t="s">
        <v>208</v>
      </c>
      <c r="I93">
        <v>4.1736000000000004</v>
      </c>
      <c r="J93">
        <v>7.0103999999999997</v>
      </c>
      <c r="K93">
        <v>10.72</v>
      </c>
      <c r="L93">
        <f>J93-K93</f>
        <v>-3.7096000000000009</v>
      </c>
    </row>
    <row r="94" spans="1:12" x14ac:dyDescent="0.35">
      <c r="A94" t="s">
        <v>265</v>
      </c>
      <c r="B94" t="s">
        <v>266</v>
      </c>
      <c r="C94">
        <v>2.0762646</v>
      </c>
      <c r="D94">
        <v>31.243424999999998</v>
      </c>
      <c r="E94">
        <v>-7.3129445000000001E-2</v>
      </c>
      <c r="F94" s="1" t="s">
        <v>267</v>
      </c>
      <c r="G94" s="1" t="s">
        <v>169</v>
      </c>
      <c r="H94">
        <v>7.69230769230769E-2</v>
      </c>
      <c r="I94">
        <v>2.6856</v>
      </c>
      <c r="J94">
        <v>4.7618</v>
      </c>
      <c r="K94">
        <v>8.65</v>
      </c>
      <c r="L94">
        <f>J94-K94</f>
        <v>-3.8882000000000003</v>
      </c>
    </row>
    <row r="95" spans="1:12" x14ac:dyDescent="0.35">
      <c r="A95" t="s">
        <v>88</v>
      </c>
      <c r="B95" t="s">
        <v>89</v>
      </c>
      <c r="C95">
        <v>4.3481560000000004</v>
      </c>
      <c r="D95">
        <v>58.756076999999998</v>
      </c>
      <c r="E95">
        <v>0.31015631999999999</v>
      </c>
      <c r="F95">
        <v>72.6875</v>
      </c>
      <c r="G95">
        <v>8</v>
      </c>
      <c r="H95">
        <v>0.5625</v>
      </c>
      <c r="I95">
        <v>7.7365000000000004</v>
      </c>
      <c r="J95">
        <v>12.0847</v>
      </c>
      <c r="K95">
        <v>16.5</v>
      </c>
      <c r="L95">
        <f>J95-K95</f>
        <v>-4.4153000000000002</v>
      </c>
    </row>
    <row r="96" spans="1:12" x14ac:dyDescent="0.35">
      <c r="A96" t="s">
        <v>19</v>
      </c>
      <c r="B96" t="s">
        <v>20</v>
      </c>
      <c r="C96">
        <v>6.2450047</v>
      </c>
      <c r="D96">
        <v>82.328239999999994</v>
      </c>
      <c r="E96">
        <v>0.44240554999999998</v>
      </c>
      <c r="F96">
        <v>106.8125</v>
      </c>
      <c r="G96">
        <v>8</v>
      </c>
      <c r="H96">
        <v>0.625</v>
      </c>
      <c r="I96">
        <v>10.8873</v>
      </c>
      <c r="J96">
        <v>17.132300000000001</v>
      </c>
      <c r="K96">
        <v>21.96</v>
      </c>
      <c r="L96">
        <f>J96-K96</f>
        <v>-4.8277000000000001</v>
      </c>
    </row>
    <row r="97" spans="1:12" x14ac:dyDescent="0.35">
      <c r="A97" t="s">
        <v>218</v>
      </c>
      <c r="B97" t="s">
        <v>219</v>
      </c>
      <c r="C97">
        <v>2.2614329999999998</v>
      </c>
      <c r="D97">
        <v>22.217607000000001</v>
      </c>
      <c r="E97">
        <v>9.1690060000000004E-2</v>
      </c>
      <c r="F97" s="1" t="s">
        <v>220</v>
      </c>
      <c r="G97">
        <v>2</v>
      </c>
      <c r="H97" s="1" t="s">
        <v>264</v>
      </c>
      <c r="I97">
        <v>2.7719</v>
      </c>
      <c r="J97">
        <v>5.0332999999999997</v>
      </c>
      <c r="K97">
        <v>10.79</v>
      </c>
      <c r="L97">
        <f>J97-K97</f>
        <v>-5.7566999999999995</v>
      </c>
    </row>
  </sheetData>
  <autoFilter ref="A1:L97" xr:uid="{A30873D6-03EC-4C66-B17D-12832CFAE7B4}">
    <filterColumn colId="10">
      <filters>
        <filter val="1.14"/>
        <filter val="10.09"/>
        <filter val="10.14"/>
        <filter val="10.15"/>
        <filter val="10.34"/>
        <filter val="10.45"/>
        <filter val="10.61"/>
        <filter val="10.66"/>
        <filter val="10.72"/>
        <filter val="10.79"/>
        <filter val="11.1"/>
        <filter val="11.3"/>
        <filter val="11.88"/>
        <filter val="11.93"/>
        <filter val="12.05"/>
        <filter val="12.75"/>
        <filter val="12.77"/>
        <filter val="12.78"/>
        <filter val="13.04"/>
        <filter val="13.33"/>
        <filter val="13.73"/>
        <filter val="14.4"/>
        <filter val="14.58"/>
        <filter val="14.68"/>
        <filter val="14.88"/>
        <filter val="14.95"/>
        <filter val="15.99"/>
        <filter val="16.5"/>
        <filter val="16.72"/>
        <filter val="17.49"/>
        <filter val="18.16"/>
        <filter val="18.32"/>
        <filter val="18.94"/>
        <filter val="2.68"/>
        <filter val="21.96"/>
        <filter val="3.01"/>
        <filter val="4"/>
        <filter val="4.1"/>
        <filter val="4.17"/>
        <filter val="4.37"/>
        <filter val="4.51"/>
        <filter val="4.54"/>
        <filter val="4.59"/>
        <filter val="4.65"/>
        <filter val="4.85"/>
        <filter val="4.88"/>
        <filter val="5.16"/>
        <filter val="5.45"/>
        <filter val="5.62"/>
        <filter val="5.63"/>
        <filter val="5.65"/>
        <filter val="5.74"/>
        <filter val="5.91"/>
        <filter val="6.03"/>
        <filter val="6.29"/>
        <filter val="6.32"/>
        <filter val="6.36"/>
        <filter val="6.38"/>
        <filter val="6.71"/>
        <filter val="6.73"/>
        <filter val="6.96"/>
        <filter val="7.07"/>
        <filter val="7.21"/>
        <filter val="7.3"/>
        <filter val="7.31"/>
        <filter val="7.36"/>
        <filter val="7.42"/>
        <filter val="7.58"/>
        <filter val="7.6"/>
        <filter val="7.61"/>
        <filter val="7.72"/>
        <filter val="7.83"/>
        <filter val="7.9"/>
        <filter val="8.3"/>
        <filter val="8.39"/>
        <filter val="8.59"/>
        <filter val="8.65"/>
        <filter val="8.71"/>
        <filter val="8.89"/>
        <filter val="8.98"/>
        <filter val="9.06"/>
        <filter val="9.31"/>
        <filter val="9.43"/>
        <filter val="9.61"/>
        <filter val="9.65"/>
        <filter val="9.71"/>
        <filter val="9.81"/>
        <filter val="9.85"/>
      </filters>
    </filterColumn>
    <sortState xmlns:xlrd2="http://schemas.microsoft.com/office/spreadsheetml/2017/richdata2" ref="A2:L97">
      <sortCondition descending="1" ref="L1:L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wrs_complete_week18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ILLESCAS CARRANCA</cp:lastModifiedBy>
  <dcterms:created xsi:type="dcterms:W3CDTF">2025-12-31T00:47:16Z</dcterms:created>
  <dcterms:modified xsi:type="dcterms:W3CDTF">2025-12-31T02:45:39Z</dcterms:modified>
</cp:coreProperties>
</file>